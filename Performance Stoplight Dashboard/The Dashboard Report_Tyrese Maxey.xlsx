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ksymfedenko/Downloads/"/>
    </mc:Choice>
  </mc:AlternateContent>
  <xr:revisionPtr revIDLastSave="0" documentId="13_ncr:1_{CA84A55F-D71B-5847-AD0A-213D76DDAEB1}" xr6:coauthVersionLast="47" xr6:coauthVersionMax="47" xr10:uidLastSave="{00000000-0000-0000-0000-000000000000}"/>
  <bookViews>
    <workbookView xWindow="0" yWindow="500" windowWidth="35840" windowHeight="21900" xr2:uid="{1EBA4D64-4D5B-4DC0-B6C5-10801D544792}"/>
  </bookViews>
  <sheets>
    <sheet name="The dashboard report" sheetId="4" r:id="rId1"/>
    <sheet name="Stoplight contro panel" sheetId="13" r:id="rId2"/>
    <sheet name="2021-22 Data" sheetId="12" r:id="rId3"/>
    <sheet name="Career Data" sheetId="5" state="hidden" r:id="rId4"/>
  </sheets>
  <definedNames>
    <definedName name="ExternalData_1" localSheetId="2" hidden="1">'2021-22 Data'!$A$1:$AF$73</definedName>
    <definedName name="ExternalData_1" localSheetId="3" hidden="1">'Career Data'!$A$1:$AF$134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4" l="1"/>
  <c r="C24" i="4"/>
  <c r="D24" i="4" s="1"/>
  <c r="C21" i="4"/>
  <c r="D21" i="4" s="1"/>
  <c r="C18" i="4"/>
  <c r="C15" i="4"/>
  <c r="C12" i="4"/>
  <c r="D15" i="4"/>
  <c r="D18" i="4"/>
  <c r="D12" i="4"/>
  <c r="D2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3C1756-22F0-43CD-BCB6-BDBBFA6D47D1}" keepAlive="1" name="Query - 2021-22 Regular Season Table" description="Connection to the '2021-22 Regular Season Table' query in the workbook." type="5" refreshedVersion="7" background="1" saveData="1">
    <dbPr connection="Provider=Microsoft.Mashup.OleDb.1;Data Source=$Workbook$;Location=&quot;2021-22 Regular Season Table&quot;;Extended Properties=&quot;&quot;" command="SELECT * FROM [2021-22 Regular Season Table]"/>
  </connection>
  <connection id="2" xr16:uid="{1835CE5C-0111-40DA-82ED-530FD97B9563}" keepAlive="1" name="Query - Career_Regular_Season_Statistics1" description="Connection to the 'Career_Regular_Season_Statistics' query in the workbook." type="5" refreshedVersion="7" background="1" saveData="1">
    <dbPr connection="Provider=Microsoft.Mashup.OleDb.1;Data Source=$Workbook$;Location=Career_Regular_Season_Statistics;Extended Properties=&quot;&quot;" command="SELECT * FROM [Career_Regular_Season_Statistics]"/>
  </connection>
</connections>
</file>

<file path=xl/sharedStrings.xml><?xml version="1.0" encoding="utf-8"?>
<sst xmlns="http://schemas.openxmlformats.org/spreadsheetml/2006/main" count="1761" uniqueCount="405">
  <si>
    <t>Bad Team</t>
  </si>
  <si>
    <t>Good Team</t>
  </si>
  <si>
    <t>Home</t>
  </si>
  <si>
    <t>Road</t>
  </si>
  <si>
    <t>W</t>
  </si>
  <si>
    <t>WinOrLoss</t>
  </si>
  <si>
    <t>Date</t>
  </si>
  <si>
    <t>GoodOrBadTeam</t>
  </si>
  <si>
    <t>HomeOrRoad</t>
  </si>
  <si>
    <t>Points per game</t>
  </si>
  <si>
    <t>Assists per game</t>
  </si>
  <si>
    <t>Opp</t>
  </si>
  <si>
    <t>L</t>
  </si>
  <si>
    <t>ATL</t>
  </si>
  <si>
    <t>BOS</t>
  </si>
  <si>
    <t>BRK</t>
  </si>
  <si>
    <t>CHI</t>
  </si>
  <si>
    <t>CHO</t>
  </si>
  <si>
    <t>DAL</t>
  </si>
  <si>
    <t>CLE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</si>
  <si>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</si>
  <si>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</si>
  <si>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</si>
  <si>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</si>
  <si>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</si>
  <si>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</si>
  <si>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</si>
  <si>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</si>
  <si>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</si>
  <si>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</si>
  <si>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</si>
  <si>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</si>
  <si>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</si>
  <si>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</si>
  <si>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</si>
  <si>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PHO</t>
  </si>
  <si>
    <t>POR</t>
  </si>
  <si>
    <t>SAC</t>
  </si>
  <si>
    <t>SAS</t>
  </si>
  <si>
    <t>TOR</t>
  </si>
  <si>
    <t>UTA</t>
  </si>
  <si>
    <t>WAS</t>
  </si>
  <si>
    <t>Rk</t>
  </si>
  <si>
    <t>G</t>
  </si>
  <si>
    <t>Age</t>
  </si>
  <si>
    <t>Tm</t>
  </si>
  <si>
    <t>GameResult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</si>
  <si>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</si>
  <si>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</si>
  <si>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</si>
  <si>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</si>
  <si>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</si>
  <si>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</si>
  <si>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</si>
  <si>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</si>
  <si>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</si>
  <si>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</si>
  <si>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</si>
  <si>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</si>
  <si>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</si>
  <si>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</si>
  <si>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</si>
  <si>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</si>
  <si>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</si>
  <si>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</si>
  <si>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</si>
  <si>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</si>
  <si>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</si>
  <si>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</si>
  <si>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21-152</t>
  </si>
  <si>
    <t>PHI</t>
  </si>
  <si>
    <t>W (+9)</t>
  </si>
  <si>
    <t>38:20</t>
  </si>
  <si>
    <t>21-150</t>
  </si>
  <si>
    <t>W (+4)</t>
  </si>
  <si>
    <t>29:01</t>
  </si>
  <si>
    <t>21-149</t>
  </si>
  <si>
    <t>W (+30)</t>
  </si>
  <si>
    <t>33:07</t>
  </si>
  <si>
    <t>21-147</t>
  </si>
  <si>
    <t>L (-8)</t>
  </si>
  <si>
    <t>34:31</t>
  </si>
  <si>
    <t>21-145</t>
  </si>
  <si>
    <t>L (-2)</t>
  </si>
  <si>
    <t>39:42</t>
  </si>
  <si>
    <t>21-143</t>
  </si>
  <si>
    <t>L (-10)</t>
  </si>
  <si>
    <t>37:53</t>
  </si>
  <si>
    <t>21-141</t>
  </si>
  <si>
    <t>W (+25)</t>
  </si>
  <si>
    <t>29:18</t>
  </si>
  <si>
    <t>21-139</t>
  </si>
  <si>
    <t>W (+5)</t>
  </si>
  <si>
    <t>38:07</t>
  </si>
  <si>
    <t>21-137</t>
  </si>
  <si>
    <t>W (+7)</t>
  </si>
  <si>
    <t>28:25</t>
  </si>
  <si>
    <t>21-136</t>
  </si>
  <si>
    <t>L (-5)</t>
  </si>
  <si>
    <t>36:45</t>
  </si>
  <si>
    <t>21-134</t>
  </si>
  <si>
    <t>W (+10)</t>
  </si>
  <si>
    <t>30:47</t>
  </si>
  <si>
    <t>21-132</t>
  </si>
  <si>
    <t>38:26</t>
  </si>
  <si>
    <t>21-130</t>
  </si>
  <si>
    <t>L (-4)</t>
  </si>
  <si>
    <t>41:43</t>
  </si>
  <si>
    <t>21-129</t>
  </si>
  <si>
    <t>W (+2)</t>
  </si>
  <si>
    <t>44:52</t>
  </si>
  <si>
    <t>21-126</t>
  </si>
  <si>
    <t>L (-29)</t>
  </si>
  <si>
    <t>28:44</t>
  </si>
  <si>
    <t>21-123</t>
  </si>
  <si>
    <t>W (+15)</t>
  </si>
  <si>
    <t>36:09</t>
  </si>
  <si>
    <t>21-121</t>
  </si>
  <si>
    <t>L (-17)</t>
  </si>
  <si>
    <t>35:17</t>
  </si>
  <si>
    <t>21-120</t>
  </si>
  <si>
    <t>W (+6)</t>
  </si>
  <si>
    <t>37:55</t>
  </si>
  <si>
    <t>21-118</t>
  </si>
  <si>
    <t>35:31</t>
  </si>
  <si>
    <t>21-115</t>
  </si>
  <si>
    <t>W (+16)</t>
  </si>
  <si>
    <t>36:51</t>
  </si>
  <si>
    <t>21-113</t>
  </si>
  <si>
    <t>W (+31)</t>
  </si>
  <si>
    <t>32:09</t>
  </si>
  <si>
    <t>21-105</t>
  </si>
  <si>
    <t>W (+3)</t>
  </si>
  <si>
    <t>40:02</t>
  </si>
  <si>
    <t>21-103</t>
  </si>
  <si>
    <t>L (-48)</t>
  </si>
  <si>
    <t>30:37</t>
  </si>
  <si>
    <t>21-100</t>
  </si>
  <si>
    <t>32:53</t>
  </si>
  <si>
    <t>21-099</t>
  </si>
  <si>
    <t>W (+13)</t>
  </si>
  <si>
    <t>31:46</t>
  </si>
  <si>
    <t>21-096</t>
  </si>
  <si>
    <t>34:13</t>
  </si>
  <si>
    <t>21-094</t>
  </si>
  <si>
    <t>W (+11)</t>
  </si>
  <si>
    <t>37:31</t>
  </si>
  <si>
    <t>21-092</t>
  </si>
  <si>
    <t>L (-9)</t>
  </si>
  <si>
    <t>36:26</t>
  </si>
  <si>
    <t>21-090</t>
  </si>
  <si>
    <t>L (-3)</t>
  </si>
  <si>
    <t>37:32</t>
  </si>
  <si>
    <t>21-088</t>
  </si>
  <si>
    <t>42:30</t>
  </si>
  <si>
    <t>21-086</t>
  </si>
  <si>
    <t>41:24</t>
  </si>
  <si>
    <t>21-084</t>
  </si>
  <si>
    <t>W (+18)</t>
  </si>
  <si>
    <t>38:36</t>
  </si>
  <si>
    <t>21-082</t>
  </si>
  <si>
    <t>35:04</t>
  </si>
  <si>
    <t>21-080</t>
  </si>
  <si>
    <t>41:44</t>
  </si>
  <si>
    <t>21-078</t>
  </si>
  <si>
    <t>L (-1)</t>
  </si>
  <si>
    <t>45:34</t>
  </si>
  <si>
    <t>21-076</t>
  </si>
  <si>
    <t>35:01</t>
  </si>
  <si>
    <t>21-074</t>
  </si>
  <si>
    <t>L (-19)</t>
  </si>
  <si>
    <t>33:23</t>
  </si>
  <si>
    <t>21-072</t>
  </si>
  <si>
    <t>40:11</t>
  </si>
  <si>
    <t>21-071</t>
  </si>
  <si>
    <t>W (+12)</t>
  </si>
  <si>
    <t>37:59</t>
  </si>
  <si>
    <t>21-069</t>
  </si>
  <si>
    <t>L (-11)</t>
  </si>
  <si>
    <t>38:21</t>
  </si>
  <si>
    <t>21-056</t>
  </si>
  <si>
    <t>W (+8)</t>
  </si>
  <si>
    <t>33:17</t>
  </si>
  <si>
    <t>21-054</t>
  </si>
  <si>
    <t>36:20</t>
  </si>
  <si>
    <t>21-052</t>
  </si>
  <si>
    <t>W (+21)</t>
  </si>
  <si>
    <t>33:21</t>
  </si>
  <si>
    <t>21-049</t>
  </si>
  <si>
    <t>33:30</t>
  </si>
  <si>
    <t>21-041</t>
  </si>
  <si>
    <t>41:52</t>
  </si>
  <si>
    <t>21-039</t>
  </si>
  <si>
    <t>L (-35)</t>
  </si>
  <si>
    <t>30:12</t>
  </si>
  <si>
    <t>21-037</t>
  </si>
  <si>
    <t>29:40</t>
  </si>
  <si>
    <t>21-035</t>
  </si>
  <si>
    <t>L (-22)</t>
  </si>
  <si>
    <t>25:42</t>
  </si>
  <si>
    <t>21-034</t>
  </si>
  <si>
    <t>26:05</t>
  </si>
  <si>
    <t>21-029</t>
  </si>
  <si>
    <t>32:38</t>
  </si>
  <si>
    <t>21-027</t>
  </si>
  <si>
    <t>32:54</t>
  </si>
  <si>
    <t>21-025</t>
  </si>
  <si>
    <t>31:38</t>
  </si>
  <si>
    <t>21-023</t>
  </si>
  <si>
    <t>43:30</t>
  </si>
  <si>
    <t>21-020</t>
  </si>
  <si>
    <t>L (-20)</t>
  </si>
  <si>
    <t>21-018</t>
  </si>
  <si>
    <t>21-016</t>
  </si>
  <si>
    <t>L (-7)</t>
  </si>
  <si>
    <t>35:11</t>
  </si>
  <si>
    <t>21-014</t>
  </si>
  <si>
    <t>W (+14)</t>
  </si>
  <si>
    <t>34:49</t>
  </si>
  <si>
    <t>21-012</t>
  </si>
  <si>
    <t>28:53</t>
  </si>
  <si>
    <t>21-009</t>
  </si>
  <si>
    <t>42:56</t>
  </si>
  <si>
    <t>21-007</t>
  </si>
  <si>
    <t>L (-6)</t>
  </si>
  <si>
    <t>39:41</t>
  </si>
  <si>
    <t>21-005</t>
  </si>
  <si>
    <t>39:00</t>
  </si>
  <si>
    <t>21-004</t>
  </si>
  <si>
    <t>39:16</t>
  </si>
  <si>
    <t>21-002</t>
  </si>
  <si>
    <t>44:13</t>
  </si>
  <si>
    <t>21-000</t>
  </si>
  <si>
    <t>44:41</t>
  </si>
  <si>
    <t>20-364</t>
  </si>
  <si>
    <t>37:00</t>
  </si>
  <si>
    <t>20-362</t>
  </si>
  <si>
    <t>30:18</t>
  </si>
  <si>
    <t>20-360</t>
  </si>
  <si>
    <t>W (+28)</t>
  </si>
  <si>
    <t>25:07</t>
  </si>
  <si>
    <t>20-358</t>
  </si>
  <si>
    <t>31:03</t>
  </si>
  <si>
    <t>20-356</t>
  </si>
  <si>
    <t>L (-13)</t>
  </si>
  <si>
    <t>20-354</t>
  </si>
  <si>
    <t>34:03</t>
  </si>
  <si>
    <t>20-352</t>
  </si>
  <si>
    <t>36:15</t>
  </si>
  <si>
    <t>20-350</t>
  </si>
  <si>
    <t>W (+20)</t>
  </si>
  <si>
    <t>33:40</t>
  </si>
  <si>
    <t>20-193</t>
  </si>
  <si>
    <t>34:52</t>
  </si>
  <si>
    <t>20-191</t>
  </si>
  <si>
    <t>22:53</t>
  </si>
  <si>
    <t>20-190</t>
  </si>
  <si>
    <t>L (-12)</t>
  </si>
  <si>
    <t>17:17</t>
  </si>
  <si>
    <t>20-188</t>
  </si>
  <si>
    <t>16:34</t>
  </si>
  <si>
    <t>20-185</t>
  </si>
  <si>
    <t>35:13</t>
  </si>
  <si>
    <t>20-182</t>
  </si>
  <si>
    <t>22:10</t>
  </si>
  <si>
    <t>20-180</t>
  </si>
  <si>
    <t>2:23</t>
  </si>
  <si>
    <t>20-177</t>
  </si>
  <si>
    <t>W (+22)</t>
  </si>
  <si>
    <t>5:54</t>
  </si>
  <si>
    <t>20-175</t>
  </si>
  <si>
    <t>W (+44)</t>
  </si>
  <si>
    <t>13:32</t>
  </si>
  <si>
    <t>20-173</t>
  </si>
  <si>
    <t>12:00</t>
  </si>
  <si>
    <t>20-171</t>
  </si>
  <si>
    <t>L (-38)</t>
  </si>
  <si>
    <t>21:29</t>
  </si>
  <si>
    <t>20-169</t>
  </si>
  <si>
    <t>19:19</t>
  </si>
  <si>
    <t>20-168</t>
  </si>
  <si>
    <t>31:29</t>
  </si>
  <si>
    <t>20-166</t>
  </si>
  <si>
    <t>16:11</t>
  </si>
  <si>
    <t>20-163</t>
  </si>
  <si>
    <t>15:47</t>
  </si>
  <si>
    <t>20-159</t>
  </si>
  <si>
    <t>2:18</t>
  </si>
  <si>
    <t>20-157</t>
  </si>
  <si>
    <t>W (+24)</t>
  </si>
  <si>
    <t>19:46</t>
  </si>
  <si>
    <t>20-156</t>
  </si>
  <si>
    <t>0:31</t>
  </si>
  <si>
    <t>20-153</t>
  </si>
  <si>
    <t>1:13</t>
  </si>
  <si>
    <t>20-148</t>
  </si>
  <si>
    <t>21:41</t>
  </si>
  <si>
    <t>20-146</t>
  </si>
  <si>
    <t>15:45</t>
  </si>
  <si>
    <t>20-143</t>
  </si>
  <si>
    <t>7:55</t>
  </si>
  <si>
    <t>20-141</t>
  </si>
  <si>
    <t>0:04</t>
  </si>
  <si>
    <t>20-139</t>
  </si>
  <si>
    <t>11:17</t>
  </si>
  <si>
    <t>20-137</t>
  </si>
  <si>
    <t>W (+1)</t>
  </si>
  <si>
    <t>14:58</t>
  </si>
  <si>
    <t>20-136</t>
  </si>
  <si>
    <t>14:46</t>
  </si>
  <si>
    <t>20-130</t>
  </si>
  <si>
    <t>W (+35)</t>
  </si>
  <si>
    <t>8:47</t>
  </si>
  <si>
    <t>20-128</t>
  </si>
  <si>
    <t>W (+26)</t>
  </si>
  <si>
    <t>6:19</t>
  </si>
  <si>
    <t>20-127</t>
  </si>
  <si>
    <t>4:32</t>
  </si>
  <si>
    <t>20-117</t>
  </si>
  <si>
    <t>17:10</t>
  </si>
  <si>
    <t>20-115</t>
  </si>
  <si>
    <t>7:57</t>
  </si>
  <si>
    <t>20-113</t>
  </si>
  <si>
    <t>20-107</t>
  </si>
  <si>
    <t>17:00</t>
  </si>
  <si>
    <t>20-105</t>
  </si>
  <si>
    <t>11:42</t>
  </si>
  <si>
    <t>20-103</t>
  </si>
  <si>
    <t>12:46</t>
  </si>
  <si>
    <t>20-101</t>
  </si>
  <si>
    <t>9:59</t>
  </si>
  <si>
    <t>20-099</t>
  </si>
  <si>
    <t>12:35</t>
  </si>
  <si>
    <t>20-094</t>
  </si>
  <si>
    <t>2:43</t>
  </si>
  <si>
    <t>20-092</t>
  </si>
  <si>
    <t>L (-16)</t>
  </si>
  <si>
    <t>20:49</t>
  </si>
  <si>
    <t>20-091</t>
  </si>
  <si>
    <t>4:35</t>
  </si>
  <si>
    <t>20-088</t>
  </si>
  <si>
    <t>18:14</t>
  </si>
  <si>
    <t>20-086</t>
  </si>
  <si>
    <t>9:42</t>
  </si>
  <si>
    <t>20-084</t>
  </si>
  <si>
    <t>5:55</t>
  </si>
  <si>
    <t>20-082</t>
  </si>
  <si>
    <t>L (-15)</t>
  </si>
  <si>
    <t>20:58</t>
  </si>
  <si>
    <t>20-080</t>
  </si>
  <si>
    <t>12:34</t>
  </si>
  <si>
    <t>20-079</t>
  </si>
  <si>
    <t>6:12</t>
  </si>
  <si>
    <t>20-077</t>
  </si>
  <si>
    <t>20:34</t>
  </si>
  <si>
    <t>20-073</t>
  </si>
  <si>
    <t>24:36</t>
  </si>
  <si>
    <t>20-071</t>
  </si>
  <si>
    <t>W (+17)</t>
  </si>
  <si>
    <t>25:40</t>
  </si>
  <si>
    <t>20-069</t>
  </si>
  <si>
    <t>36:14</t>
  </si>
  <si>
    <t>20-068</t>
  </si>
  <si>
    <t>L (-18)</t>
  </si>
  <si>
    <t>30:56</t>
  </si>
  <si>
    <t>20-066</t>
  </si>
  <si>
    <t>43:45</t>
  </si>
  <si>
    <t>20-064</t>
  </si>
  <si>
    <t>20:55</t>
  </si>
  <si>
    <t>20-063</t>
  </si>
  <si>
    <t>10:59</t>
  </si>
  <si>
    <t>20-061</t>
  </si>
  <si>
    <t>21:13</t>
  </si>
  <si>
    <t>20-059</t>
  </si>
  <si>
    <t>17:55</t>
  </si>
  <si>
    <t>20-057</t>
  </si>
  <si>
    <t>21:00</t>
  </si>
  <si>
    <t>20-055</t>
  </si>
  <si>
    <t>8:01</t>
  </si>
  <si>
    <t>20-053</t>
  </si>
  <si>
    <t>L (-24)</t>
  </si>
  <si>
    <t>21:40</t>
  </si>
  <si>
    <t>20-052</t>
  </si>
  <si>
    <t>8:49</t>
  </si>
  <si>
    <t>20-049</t>
  </si>
  <si>
    <t>10:51</t>
  </si>
  <si>
    <t>Turnovers per game</t>
  </si>
  <si>
    <t>Fouls per game</t>
  </si>
  <si>
    <t>Points</t>
  </si>
  <si>
    <t>Rebounds</t>
  </si>
  <si>
    <t>Rebounds per game</t>
  </si>
  <si>
    <t>Assists</t>
  </si>
  <si>
    <t>Blocks</t>
  </si>
  <si>
    <t>Blocks per game</t>
  </si>
  <si>
    <t>Turnovers</t>
  </si>
  <si>
    <t>Fouls</t>
  </si>
  <si>
    <t>Diff.</t>
  </si>
  <si>
    <t>Target</t>
  </si>
  <si>
    <t>Current</t>
  </si>
  <si>
    <t>&gt;= The target</t>
  </si>
  <si>
    <r>
      <t xml:space="preserve">&gt;= The target * </t>
    </r>
    <r>
      <rPr>
        <sz val="11"/>
        <color rgb="FFC00000"/>
        <rFont val="Calibri"/>
        <family val="2"/>
        <scheme val="minor"/>
      </rPr>
      <t>90%</t>
    </r>
  </si>
  <si>
    <t>Progress</t>
  </si>
  <si>
    <t>Conditional formatting</t>
  </si>
  <si>
    <r>
      <t xml:space="preserve">&lt; The target * </t>
    </r>
    <r>
      <rPr>
        <sz val="11"/>
        <color rgb="FFC00000"/>
        <rFont val="Calibri"/>
        <family val="2"/>
        <scheme val="minor"/>
      </rPr>
      <t>90%</t>
    </r>
  </si>
  <si>
    <t>Basic Stats in the 2021-22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</si>
</sst>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2" fillId="2" borderId="3" xfId="0" applyFont="1" applyFill="1" applyBorder="1" applyAlignment="1">
      <alignment wrapText="1"/>
    </xf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left" wrapText="1" indent="1"/>
    </xf>
    <xf numFmtId="0" fontId="0" fillId="2" borderId="4" xfId="0" applyFill="1" applyBorder="1" applyAlignment="1">
      <alignment horizontal="left" wrapText="1" indent="1"/>
    </xf>
    <xf numFmtId="164" fontId="0" fillId="2" borderId="4" xfId="0" applyNumberFormat="1" applyFill="1" applyBorder="1" applyAlignment="1">
      <alignment horizontal="left"/>
    </xf>
    <xf numFmtId="1" fontId="0" fillId="2" borderId="0" xfId="0" applyNumberFormat="1" applyFill="1"/>
    <xf numFmtId="0" fontId="2" fillId="2" borderId="2" xfId="0" applyFont="1" applyFill="1" applyBorder="1" applyAlignment="1">
      <alignment wrapText="1"/>
    </xf>
    <xf numFmtId="0" fontId="0" fillId="2" borderId="2" xfId="0" applyFill="1" applyBorder="1"/>
    <xf numFmtId="0" fontId="0" fillId="2" borderId="2" xfId="0" applyFill="1" applyBorder="1" applyAlignment="1">
      <alignment horizontal="left" wrapText="1" indent="1"/>
    </xf>
    <xf numFmtId="0" fontId="0" fillId="2" borderId="1" xfId="0" applyFill="1" applyBorder="1" applyAlignment="1">
      <alignment horizontal="left" wrapText="1" indent="1"/>
    </xf>
    <xf numFmtId="1" fontId="0" fillId="2" borderId="1" xfId="0" applyNumberFormat="1" applyFill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164" fontId="1" fillId="2" borderId="4" xfId="0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3" borderId="0" xfId="0" applyFill="1" applyAlignment="1">
      <alignment vertical="top"/>
    </xf>
    <xf numFmtId="0" fontId="6" fillId="4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left" vertical="top" indent="1"/>
    </xf>
    <xf numFmtId="0" fontId="5" fillId="5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7.emf"/><Relationship Id="rId13" Type="http://schemas.openxmlformats.org/officeDocument/2006/relationships/image" Target="../media/image32.emf"/><Relationship Id="rId18" Type="http://schemas.openxmlformats.org/officeDocument/2006/relationships/image" Target="../media/image37.emf"/><Relationship Id="rId3" Type="http://schemas.openxmlformats.org/officeDocument/2006/relationships/image" Target="../media/image22.emf"/><Relationship Id="rId7" Type="http://schemas.openxmlformats.org/officeDocument/2006/relationships/image" Target="../media/image26.emf"/><Relationship Id="rId12" Type="http://schemas.openxmlformats.org/officeDocument/2006/relationships/image" Target="../media/image31.emf"/><Relationship Id="rId17" Type="http://schemas.openxmlformats.org/officeDocument/2006/relationships/image" Target="../media/image36.emf"/><Relationship Id="rId2" Type="http://schemas.openxmlformats.org/officeDocument/2006/relationships/image" Target="../media/image21.emf"/><Relationship Id="rId16" Type="http://schemas.openxmlformats.org/officeDocument/2006/relationships/image" Target="../media/image35.emf"/><Relationship Id="rId1" Type="http://schemas.openxmlformats.org/officeDocument/2006/relationships/image" Target="../media/image20.emf"/><Relationship Id="rId6" Type="http://schemas.openxmlformats.org/officeDocument/2006/relationships/image" Target="../media/image25.emf"/><Relationship Id="rId11" Type="http://schemas.openxmlformats.org/officeDocument/2006/relationships/image" Target="../media/image30.emf"/><Relationship Id="rId5" Type="http://schemas.openxmlformats.org/officeDocument/2006/relationships/image" Target="../media/image24.emf"/><Relationship Id="rId15" Type="http://schemas.openxmlformats.org/officeDocument/2006/relationships/image" Target="../media/image34.emf"/><Relationship Id="rId10" Type="http://schemas.openxmlformats.org/officeDocument/2006/relationships/image" Target="../media/image29.emf"/><Relationship Id="rId4" Type="http://schemas.openxmlformats.org/officeDocument/2006/relationships/image" Target="../media/image23.emf"/><Relationship Id="rId9" Type="http://schemas.openxmlformats.org/officeDocument/2006/relationships/image" Target="../media/image28.emf"/><Relationship Id="rId14" Type="http://schemas.openxmlformats.org/officeDocument/2006/relationships/image" Target="../media/image3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605117</xdr:colOff>
      <xdr:row>0</xdr:row>
      <xdr:rowOff>0</xdr:rowOff>
    </xdr:from>
    <xdr:to>
      <xdr:col>3</xdr:col>
      <xdr:colOff>14342</xdr:colOff>
      <xdr:row>8</xdr:row>
      <xdr:rowOff>3949</xdr:rowOff>
    </xdr:to>
    <xdr:pic>
      <xdr:nvPicPr>
        <xdr:cNvPr id="6" name="Picture 5" descr="Tyrese Maxey">
          <a:extLst>
            <a:ext uri="{FF2B5EF4-FFF2-40B4-BE49-F238E27FC236}">
              <a16:creationId xmlns:a16="http://schemas.microsoft.com/office/drawing/2014/main" id="{91189092-1BAB-409E-9CC8-68CA0780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7" y="0"/>
          <a:ext cx="2098637" cy="1527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13</xdr:col>
      <xdr:colOff>0</xdr:colOff>
      <xdr:row>13</xdr:row>
      <xdr:rowOff>77439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539643-9413-0E7B-C5EC-786875C47F86}"/>
            </a:ext>
          </a:extLst>
        </xdr:cNvPr>
        <xdr:cNvSpPr txBox="1"/>
      </xdr:nvSpPr>
      <xdr:spPr>
        <a:xfrm>
          <a:off x="5583354" y="1742378"/>
          <a:ext cx="3848719" cy="98347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rgbClr val="FF0000"/>
              </a:solidFill>
            </a:rPr>
            <a:t>Dashboard</a:t>
          </a:r>
          <a:r>
            <a:rPr lang="en-US" sz="1400" b="0" baseline="0">
              <a:solidFill>
                <a:srgbClr val="FF0000"/>
              </a:solidFill>
            </a:rPr>
            <a:t> is interactive, changing the initial target range or current player performance data influences the progress column.</a:t>
          </a:r>
          <a:br>
            <a:rPr lang="en-US" sz="1400" b="0" baseline="0">
              <a:solidFill>
                <a:srgbClr val="FF0000"/>
              </a:solidFill>
            </a:rPr>
          </a:br>
          <a:endParaRPr lang="en-US" sz="1400" b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498596</xdr:colOff>
      <xdr:row>11</xdr:row>
      <xdr:rowOff>75260</xdr:rowOff>
    </xdr:from>
    <xdr:to>
      <xdr:col>4</xdr:col>
      <xdr:colOff>837264</xdr:colOff>
      <xdr:row>13</xdr:row>
      <xdr:rowOff>150427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43905FC-CD17-7A3C-E053-6E44D3E8E28A}"/>
            </a:ext>
          </a:extLst>
        </xdr:cNvPr>
        <xdr:cNvGrpSpPr/>
      </xdr:nvGrpSpPr>
      <xdr:grpSpPr>
        <a:xfrm rot="16200000">
          <a:off x="3898273" y="1987900"/>
          <a:ext cx="470106" cy="1151778"/>
          <a:chOff x="6124223" y="4289778"/>
          <a:chExt cx="1699250" cy="4001457"/>
        </a:xfrm>
      </xdr:grpSpPr>
      <mc:AlternateContent xmlns:mc="http://schemas.openxmlformats.org/markup-compatibility/2006" xmlns:a14="http://schemas.microsoft.com/office/drawing/2010/main">
        <mc:Choice Requires="a14">
          <xdr:pic>
            <xdr:nvPicPr>
              <xdr:cNvPr id="13" name="Picture 12">
                <a:extLst>
                  <a:ext uri="{FF2B5EF4-FFF2-40B4-BE49-F238E27FC236}">
                    <a16:creationId xmlns:a16="http://schemas.microsoft.com/office/drawing/2014/main" id="{BB7C138D-0A03-93D0-3FF3-ADBAFE219151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Stoplight contro panel'!$B$3" spid="_x0000_s5655"/>
                  </a:ext>
                </a:extLst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 bwMode="auto">
              <a:xfrm>
                <a:off x="6350000" y="4421481"/>
                <a:ext cx="1360330" cy="1246483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79FCE7A6-A63E-3598-C0FD-9B5D28D98656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Stoplight contro panel'!$B$4" spid="_x0000_s5656"/>
                  </a:ext>
                </a:extLst>
              </xdr:cNvPicPr>
            </xdr:nvPicPr>
            <xdr:blipFill>
              <a:blip xmlns:r="http://schemas.openxmlformats.org/officeDocument/2006/relationships" r:embed="rId3"/>
              <a:srcRect/>
              <a:stretch>
                <a:fillRect/>
              </a:stretch>
            </xdr:blipFill>
            <xdr:spPr bwMode="auto">
              <a:xfrm>
                <a:off x="6342089" y="5691482"/>
                <a:ext cx="1343763" cy="121826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15" name="Picture 14">
                <a:extLst>
                  <a:ext uri="{FF2B5EF4-FFF2-40B4-BE49-F238E27FC236}">
                    <a16:creationId xmlns:a16="http://schemas.microsoft.com/office/drawing/2014/main" id="{AADE51AB-4DF4-5CC5-6A52-8D587C7A6B64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Stoplight contro panel'!$B$5" spid="_x0000_s5657"/>
                  </a:ext>
                </a:extLst>
              </xdr:cNvPicPr>
            </xdr:nvPicPr>
            <xdr:blipFill>
              <a:blip xmlns:r="http://schemas.openxmlformats.org/officeDocument/2006/relationships" r:embed="rId4"/>
              <a:srcRect/>
              <a:stretch>
                <a:fillRect/>
              </a:stretch>
            </xdr:blipFill>
            <xdr:spPr bwMode="auto">
              <a:xfrm>
                <a:off x="6378222" y="6942668"/>
                <a:ext cx="1270000" cy="1099256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AE1A4CA2-1B0F-C581-2138-870B3E5DBDB1}"/>
              </a:ext>
            </a:extLst>
          </xdr:cNvPr>
          <xdr:cNvSpPr/>
        </xdr:nvSpPr>
        <xdr:spPr>
          <a:xfrm>
            <a:off x="6124223" y="4289778"/>
            <a:ext cx="1699250" cy="4001457"/>
          </a:xfrm>
          <a:custGeom>
            <a:avLst/>
            <a:gdLst>
              <a:gd name="connsiteX0" fmla="*/ 977463 w 1954925"/>
              <a:gd name="connsiteY0" fmla="*/ 3097779 h 4603531"/>
              <a:gd name="connsiteX1" fmla="*/ 399394 w 1954925"/>
              <a:gd name="connsiteY1" fmla="*/ 3675848 h 4603531"/>
              <a:gd name="connsiteX2" fmla="*/ 977463 w 1954925"/>
              <a:gd name="connsiteY2" fmla="*/ 4253917 h 4603531"/>
              <a:gd name="connsiteX3" fmla="*/ 1555532 w 1954925"/>
              <a:gd name="connsiteY3" fmla="*/ 3675848 h 4603531"/>
              <a:gd name="connsiteX4" fmla="*/ 977463 w 1954925"/>
              <a:gd name="connsiteY4" fmla="*/ 3097779 h 4603531"/>
              <a:gd name="connsiteX5" fmla="*/ 977462 w 1954925"/>
              <a:gd name="connsiteY5" fmla="*/ 1723696 h 4603531"/>
              <a:gd name="connsiteX6" fmla="*/ 399393 w 1954925"/>
              <a:gd name="connsiteY6" fmla="*/ 2301765 h 4603531"/>
              <a:gd name="connsiteX7" fmla="*/ 977462 w 1954925"/>
              <a:gd name="connsiteY7" fmla="*/ 2879834 h 4603531"/>
              <a:gd name="connsiteX8" fmla="*/ 1555531 w 1954925"/>
              <a:gd name="connsiteY8" fmla="*/ 2301765 h 4603531"/>
              <a:gd name="connsiteX9" fmla="*/ 977462 w 1954925"/>
              <a:gd name="connsiteY9" fmla="*/ 1723696 h 4603531"/>
              <a:gd name="connsiteX10" fmla="*/ 977462 w 1954925"/>
              <a:gd name="connsiteY10" fmla="*/ 349613 h 4603531"/>
              <a:gd name="connsiteX11" fmla="*/ 399393 w 1954925"/>
              <a:gd name="connsiteY11" fmla="*/ 927682 h 4603531"/>
              <a:gd name="connsiteX12" fmla="*/ 977462 w 1954925"/>
              <a:gd name="connsiteY12" fmla="*/ 1505751 h 4603531"/>
              <a:gd name="connsiteX13" fmla="*/ 1555531 w 1954925"/>
              <a:gd name="connsiteY13" fmla="*/ 927682 h 4603531"/>
              <a:gd name="connsiteX14" fmla="*/ 977462 w 1954925"/>
              <a:gd name="connsiteY14" fmla="*/ 349613 h 4603531"/>
              <a:gd name="connsiteX15" fmla="*/ 0 w 1954925"/>
              <a:gd name="connsiteY15" fmla="*/ 0 h 4603531"/>
              <a:gd name="connsiteX16" fmla="*/ 1954925 w 1954925"/>
              <a:gd name="connsiteY16" fmla="*/ 0 h 4603531"/>
              <a:gd name="connsiteX17" fmla="*/ 1954925 w 1954925"/>
              <a:gd name="connsiteY17" fmla="*/ 4603531 h 4603531"/>
              <a:gd name="connsiteX18" fmla="*/ 0 w 1954925"/>
              <a:gd name="connsiteY18" fmla="*/ 4603531 h 460353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1954925" h="4603531">
                <a:moveTo>
                  <a:pt x="977463" y="3097779"/>
                </a:moveTo>
                <a:cubicBezTo>
                  <a:pt x="658204" y="3097779"/>
                  <a:pt x="399394" y="3356589"/>
                  <a:pt x="399394" y="3675848"/>
                </a:cubicBezTo>
                <a:cubicBezTo>
                  <a:pt x="399394" y="3995107"/>
                  <a:pt x="658204" y="4253917"/>
                  <a:pt x="977463" y="4253917"/>
                </a:cubicBezTo>
                <a:cubicBezTo>
                  <a:pt x="1296722" y="4253917"/>
                  <a:pt x="1555532" y="3995107"/>
                  <a:pt x="1555532" y="3675848"/>
                </a:cubicBezTo>
                <a:cubicBezTo>
                  <a:pt x="1555532" y="3356589"/>
                  <a:pt x="1296722" y="3097779"/>
                  <a:pt x="977463" y="3097779"/>
                </a:cubicBezTo>
                <a:close/>
                <a:moveTo>
                  <a:pt x="977462" y="1723696"/>
                </a:moveTo>
                <a:cubicBezTo>
                  <a:pt x="658203" y="1723696"/>
                  <a:pt x="399393" y="1982506"/>
                  <a:pt x="399393" y="2301765"/>
                </a:cubicBezTo>
                <a:cubicBezTo>
                  <a:pt x="399393" y="2621024"/>
                  <a:pt x="658203" y="2879834"/>
                  <a:pt x="977462" y="2879834"/>
                </a:cubicBezTo>
                <a:cubicBezTo>
                  <a:pt x="1296721" y="2879834"/>
                  <a:pt x="1555531" y="2621024"/>
                  <a:pt x="1555531" y="2301765"/>
                </a:cubicBezTo>
                <a:cubicBezTo>
                  <a:pt x="1555531" y="1982506"/>
                  <a:pt x="1296721" y="1723696"/>
                  <a:pt x="977462" y="1723696"/>
                </a:cubicBezTo>
                <a:close/>
                <a:moveTo>
                  <a:pt x="977462" y="349613"/>
                </a:moveTo>
                <a:cubicBezTo>
                  <a:pt x="658203" y="349613"/>
                  <a:pt x="399393" y="608423"/>
                  <a:pt x="399393" y="927682"/>
                </a:cubicBezTo>
                <a:cubicBezTo>
                  <a:pt x="399393" y="1246941"/>
                  <a:pt x="658203" y="1505751"/>
                  <a:pt x="977462" y="1505751"/>
                </a:cubicBezTo>
                <a:cubicBezTo>
                  <a:pt x="1296721" y="1505751"/>
                  <a:pt x="1555531" y="1246941"/>
                  <a:pt x="1555531" y="927682"/>
                </a:cubicBezTo>
                <a:cubicBezTo>
                  <a:pt x="1555531" y="608423"/>
                  <a:pt x="1296721" y="349613"/>
                  <a:pt x="977462" y="349613"/>
                </a:cubicBezTo>
                <a:close/>
                <a:moveTo>
                  <a:pt x="0" y="0"/>
                </a:moveTo>
                <a:lnTo>
                  <a:pt x="1954925" y="0"/>
                </a:lnTo>
                <a:lnTo>
                  <a:pt x="1954925" y="4603531"/>
                </a:lnTo>
                <a:lnTo>
                  <a:pt x="0" y="4603531"/>
                </a:lnTo>
                <a:close/>
              </a:path>
            </a:pathLst>
          </a:custGeom>
          <a:solidFill>
            <a:schemeClr val="tx1">
              <a:lumMod val="75000"/>
              <a:lumOff val="2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496958</xdr:colOff>
          <xdr:row>14</xdr:row>
          <xdr:rowOff>171235</xdr:rowOff>
        </xdr:from>
        <xdr:to>
          <xdr:col>4</xdr:col>
          <xdr:colOff>89728</xdr:colOff>
          <xdr:row>16</xdr:row>
          <xdr:rowOff>116233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A1B6B7F9-A90B-8E74-BB30-30128537236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8" spid="_x0000_s565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3561523" y="3070148"/>
              <a:ext cx="407227" cy="33842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97548</xdr:colOff>
          <xdr:row>14</xdr:row>
          <xdr:rowOff>144946</xdr:rowOff>
        </xdr:from>
        <xdr:to>
          <xdr:col>4</xdr:col>
          <xdr:colOff>461343</xdr:colOff>
          <xdr:row>16</xdr:row>
          <xdr:rowOff>99667</xdr:rowOff>
        </xdr:to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A7494B15-1E2D-B44B-568D-E435C9ABBF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9" spid="_x0000_s565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3976570" y="3043859"/>
              <a:ext cx="363795" cy="34814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462447</xdr:colOff>
          <xdr:row>14</xdr:row>
          <xdr:rowOff>117337</xdr:rowOff>
        </xdr:from>
        <xdr:to>
          <xdr:col>4</xdr:col>
          <xdr:colOff>828261</xdr:colOff>
          <xdr:row>16</xdr:row>
          <xdr:rowOff>147982</xdr:rowOff>
        </xdr:to>
        <xdr:pic>
          <xdr:nvPicPr>
            <xdr:cNvPr id="29" name="Picture 28">
              <a:extLst>
                <a:ext uri="{FF2B5EF4-FFF2-40B4-BE49-F238E27FC236}">
                  <a16:creationId xmlns:a16="http://schemas.microsoft.com/office/drawing/2014/main" id="{1DDDB6B2-79C2-9687-4CB3-5CF2530FE06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10" spid="_x0000_s5660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4341469" y="3016250"/>
              <a:ext cx="365814" cy="4240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498593</xdr:colOff>
      <xdr:row>14</xdr:row>
      <xdr:rowOff>84667</xdr:rowOff>
    </xdr:from>
    <xdr:to>
      <xdr:col>4</xdr:col>
      <xdr:colOff>846668</xdr:colOff>
      <xdr:row>16</xdr:row>
      <xdr:rowOff>193596</xdr:rowOff>
    </xdr:to>
    <xdr:sp macro="" textlink="">
      <xdr:nvSpPr>
        <xdr:cNvPr id="22" name="Freeform 21">
          <a:extLst>
            <a:ext uri="{FF2B5EF4-FFF2-40B4-BE49-F238E27FC236}">
              <a16:creationId xmlns:a16="http://schemas.microsoft.com/office/drawing/2014/main" id="{AE1A4CA2-1B0F-C581-2138-870B3E5DBDB1}"/>
            </a:ext>
          </a:extLst>
        </xdr:cNvPr>
        <xdr:cNvSpPr/>
      </xdr:nvSpPr>
      <xdr:spPr>
        <a:xfrm rot="16200000">
          <a:off x="3882535" y="2608576"/>
          <a:ext cx="504041" cy="1157112"/>
        </a:xfrm>
        <a:custGeom>
          <a:avLst/>
          <a:gdLst>
            <a:gd name="connsiteX0" fmla="*/ 977463 w 1954925"/>
            <a:gd name="connsiteY0" fmla="*/ 3097779 h 4603531"/>
            <a:gd name="connsiteX1" fmla="*/ 399394 w 1954925"/>
            <a:gd name="connsiteY1" fmla="*/ 3675848 h 4603531"/>
            <a:gd name="connsiteX2" fmla="*/ 977463 w 1954925"/>
            <a:gd name="connsiteY2" fmla="*/ 4253917 h 4603531"/>
            <a:gd name="connsiteX3" fmla="*/ 1555532 w 1954925"/>
            <a:gd name="connsiteY3" fmla="*/ 3675848 h 4603531"/>
            <a:gd name="connsiteX4" fmla="*/ 977463 w 1954925"/>
            <a:gd name="connsiteY4" fmla="*/ 3097779 h 4603531"/>
            <a:gd name="connsiteX5" fmla="*/ 977462 w 1954925"/>
            <a:gd name="connsiteY5" fmla="*/ 1723696 h 4603531"/>
            <a:gd name="connsiteX6" fmla="*/ 399393 w 1954925"/>
            <a:gd name="connsiteY6" fmla="*/ 2301765 h 4603531"/>
            <a:gd name="connsiteX7" fmla="*/ 977462 w 1954925"/>
            <a:gd name="connsiteY7" fmla="*/ 2879834 h 4603531"/>
            <a:gd name="connsiteX8" fmla="*/ 1555531 w 1954925"/>
            <a:gd name="connsiteY8" fmla="*/ 2301765 h 4603531"/>
            <a:gd name="connsiteX9" fmla="*/ 977462 w 1954925"/>
            <a:gd name="connsiteY9" fmla="*/ 1723696 h 4603531"/>
            <a:gd name="connsiteX10" fmla="*/ 977462 w 1954925"/>
            <a:gd name="connsiteY10" fmla="*/ 349613 h 4603531"/>
            <a:gd name="connsiteX11" fmla="*/ 399393 w 1954925"/>
            <a:gd name="connsiteY11" fmla="*/ 927682 h 4603531"/>
            <a:gd name="connsiteX12" fmla="*/ 977462 w 1954925"/>
            <a:gd name="connsiteY12" fmla="*/ 1505751 h 4603531"/>
            <a:gd name="connsiteX13" fmla="*/ 1555531 w 1954925"/>
            <a:gd name="connsiteY13" fmla="*/ 927682 h 4603531"/>
            <a:gd name="connsiteX14" fmla="*/ 977462 w 1954925"/>
            <a:gd name="connsiteY14" fmla="*/ 349613 h 4603531"/>
            <a:gd name="connsiteX15" fmla="*/ 0 w 1954925"/>
            <a:gd name="connsiteY15" fmla="*/ 0 h 4603531"/>
            <a:gd name="connsiteX16" fmla="*/ 1954925 w 1954925"/>
            <a:gd name="connsiteY16" fmla="*/ 0 h 4603531"/>
            <a:gd name="connsiteX17" fmla="*/ 1954925 w 1954925"/>
            <a:gd name="connsiteY17" fmla="*/ 4603531 h 4603531"/>
            <a:gd name="connsiteX18" fmla="*/ 0 w 1954925"/>
            <a:gd name="connsiteY18" fmla="*/ 4603531 h 46035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954925" h="4603531">
              <a:moveTo>
                <a:pt x="977463" y="3097779"/>
              </a:moveTo>
              <a:cubicBezTo>
                <a:pt x="658204" y="3097779"/>
                <a:pt x="399394" y="3356589"/>
                <a:pt x="399394" y="3675848"/>
              </a:cubicBezTo>
              <a:cubicBezTo>
                <a:pt x="399394" y="3995107"/>
                <a:pt x="658204" y="4253917"/>
                <a:pt x="977463" y="4253917"/>
              </a:cubicBezTo>
              <a:cubicBezTo>
                <a:pt x="1296722" y="4253917"/>
                <a:pt x="1555532" y="3995107"/>
                <a:pt x="1555532" y="3675848"/>
              </a:cubicBezTo>
              <a:cubicBezTo>
                <a:pt x="1555532" y="3356589"/>
                <a:pt x="1296722" y="3097779"/>
                <a:pt x="977463" y="3097779"/>
              </a:cubicBezTo>
              <a:close/>
              <a:moveTo>
                <a:pt x="977462" y="1723696"/>
              </a:moveTo>
              <a:cubicBezTo>
                <a:pt x="658203" y="1723696"/>
                <a:pt x="399393" y="1982506"/>
                <a:pt x="399393" y="2301765"/>
              </a:cubicBezTo>
              <a:cubicBezTo>
                <a:pt x="399393" y="2621024"/>
                <a:pt x="658203" y="2879834"/>
                <a:pt x="977462" y="2879834"/>
              </a:cubicBezTo>
              <a:cubicBezTo>
                <a:pt x="1296721" y="2879834"/>
                <a:pt x="1555531" y="2621024"/>
                <a:pt x="1555531" y="2301765"/>
              </a:cubicBezTo>
              <a:cubicBezTo>
                <a:pt x="1555531" y="1982506"/>
                <a:pt x="1296721" y="1723696"/>
                <a:pt x="977462" y="1723696"/>
              </a:cubicBezTo>
              <a:close/>
              <a:moveTo>
                <a:pt x="977462" y="349613"/>
              </a:moveTo>
              <a:cubicBezTo>
                <a:pt x="658203" y="349613"/>
                <a:pt x="399393" y="608423"/>
                <a:pt x="399393" y="927682"/>
              </a:cubicBezTo>
              <a:cubicBezTo>
                <a:pt x="399393" y="1246941"/>
                <a:pt x="658203" y="1505751"/>
                <a:pt x="977462" y="1505751"/>
              </a:cubicBezTo>
              <a:cubicBezTo>
                <a:pt x="1296721" y="1505751"/>
                <a:pt x="1555531" y="1246941"/>
                <a:pt x="1555531" y="927682"/>
              </a:cubicBezTo>
              <a:cubicBezTo>
                <a:pt x="1555531" y="608423"/>
                <a:pt x="1296721" y="349613"/>
                <a:pt x="977462" y="349613"/>
              </a:cubicBezTo>
              <a:close/>
              <a:moveTo>
                <a:pt x="0" y="0"/>
              </a:moveTo>
              <a:lnTo>
                <a:pt x="1954925" y="0"/>
              </a:lnTo>
              <a:lnTo>
                <a:pt x="1954925" y="4603531"/>
              </a:lnTo>
              <a:lnTo>
                <a:pt x="0" y="4603531"/>
              </a:lnTo>
              <a:close/>
            </a:path>
          </a:pathLst>
        </a:cu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524567</xdr:colOff>
          <xdr:row>17</xdr:row>
          <xdr:rowOff>151848</xdr:rowOff>
        </xdr:from>
        <xdr:to>
          <xdr:col>4</xdr:col>
          <xdr:colOff>103534</xdr:colOff>
          <xdr:row>19</xdr:row>
          <xdr:rowOff>123135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FA64DD1F-C862-D266-0F2B-DB061F42D5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13" spid="_x0000_s566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589132" y="3699565"/>
              <a:ext cx="393424" cy="36471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110435</xdr:colOff>
          <xdr:row>17</xdr:row>
          <xdr:rowOff>110435</xdr:rowOff>
        </xdr:from>
        <xdr:to>
          <xdr:col>4</xdr:col>
          <xdr:colOff>463655</xdr:colOff>
          <xdr:row>19</xdr:row>
          <xdr:rowOff>138044</xdr:rowOff>
        </xdr:to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63E555DD-597E-7F71-E7FA-AAB45AA4BA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14" spid="_x0000_s566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3989457" y="3658152"/>
              <a:ext cx="353220" cy="4210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461796</xdr:colOff>
          <xdr:row>17</xdr:row>
          <xdr:rowOff>89728</xdr:rowOff>
        </xdr:from>
        <xdr:to>
          <xdr:col>4</xdr:col>
          <xdr:colOff>828261</xdr:colOff>
          <xdr:row>19</xdr:row>
          <xdr:rowOff>182494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9FD13255-E376-86E5-1133-38FDAF4A9C6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15" spid="_x0000_s5663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4340818" y="3637445"/>
              <a:ext cx="366465" cy="48619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500475</xdr:colOff>
      <xdr:row>17</xdr:row>
      <xdr:rowOff>77141</xdr:rowOff>
    </xdr:from>
    <xdr:to>
      <xdr:col>4</xdr:col>
      <xdr:colOff>848550</xdr:colOff>
      <xdr:row>19</xdr:row>
      <xdr:rowOff>186071</xdr:rowOff>
    </xdr:to>
    <xdr:sp macro="" textlink="">
      <xdr:nvSpPr>
        <xdr:cNvPr id="24" name="Freeform 23">
          <a:extLst>
            <a:ext uri="{FF2B5EF4-FFF2-40B4-BE49-F238E27FC236}">
              <a16:creationId xmlns:a16="http://schemas.microsoft.com/office/drawing/2014/main" id="{29831657-E4AC-AD4A-880D-F0C74CB8074D}"/>
            </a:ext>
          </a:extLst>
        </xdr:cNvPr>
        <xdr:cNvSpPr/>
      </xdr:nvSpPr>
      <xdr:spPr>
        <a:xfrm rot="16200000">
          <a:off x="3884417" y="3250162"/>
          <a:ext cx="504041" cy="1157112"/>
        </a:xfrm>
        <a:custGeom>
          <a:avLst/>
          <a:gdLst>
            <a:gd name="connsiteX0" fmla="*/ 977463 w 1954925"/>
            <a:gd name="connsiteY0" fmla="*/ 3097779 h 4603531"/>
            <a:gd name="connsiteX1" fmla="*/ 399394 w 1954925"/>
            <a:gd name="connsiteY1" fmla="*/ 3675848 h 4603531"/>
            <a:gd name="connsiteX2" fmla="*/ 977463 w 1954925"/>
            <a:gd name="connsiteY2" fmla="*/ 4253917 h 4603531"/>
            <a:gd name="connsiteX3" fmla="*/ 1555532 w 1954925"/>
            <a:gd name="connsiteY3" fmla="*/ 3675848 h 4603531"/>
            <a:gd name="connsiteX4" fmla="*/ 977463 w 1954925"/>
            <a:gd name="connsiteY4" fmla="*/ 3097779 h 4603531"/>
            <a:gd name="connsiteX5" fmla="*/ 977462 w 1954925"/>
            <a:gd name="connsiteY5" fmla="*/ 1723696 h 4603531"/>
            <a:gd name="connsiteX6" fmla="*/ 399393 w 1954925"/>
            <a:gd name="connsiteY6" fmla="*/ 2301765 h 4603531"/>
            <a:gd name="connsiteX7" fmla="*/ 977462 w 1954925"/>
            <a:gd name="connsiteY7" fmla="*/ 2879834 h 4603531"/>
            <a:gd name="connsiteX8" fmla="*/ 1555531 w 1954925"/>
            <a:gd name="connsiteY8" fmla="*/ 2301765 h 4603531"/>
            <a:gd name="connsiteX9" fmla="*/ 977462 w 1954925"/>
            <a:gd name="connsiteY9" fmla="*/ 1723696 h 4603531"/>
            <a:gd name="connsiteX10" fmla="*/ 977462 w 1954925"/>
            <a:gd name="connsiteY10" fmla="*/ 349613 h 4603531"/>
            <a:gd name="connsiteX11" fmla="*/ 399393 w 1954925"/>
            <a:gd name="connsiteY11" fmla="*/ 927682 h 4603531"/>
            <a:gd name="connsiteX12" fmla="*/ 977462 w 1954925"/>
            <a:gd name="connsiteY12" fmla="*/ 1505751 h 4603531"/>
            <a:gd name="connsiteX13" fmla="*/ 1555531 w 1954925"/>
            <a:gd name="connsiteY13" fmla="*/ 927682 h 4603531"/>
            <a:gd name="connsiteX14" fmla="*/ 977462 w 1954925"/>
            <a:gd name="connsiteY14" fmla="*/ 349613 h 4603531"/>
            <a:gd name="connsiteX15" fmla="*/ 0 w 1954925"/>
            <a:gd name="connsiteY15" fmla="*/ 0 h 4603531"/>
            <a:gd name="connsiteX16" fmla="*/ 1954925 w 1954925"/>
            <a:gd name="connsiteY16" fmla="*/ 0 h 4603531"/>
            <a:gd name="connsiteX17" fmla="*/ 1954925 w 1954925"/>
            <a:gd name="connsiteY17" fmla="*/ 4603531 h 4603531"/>
            <a:gd name="connsiteX18" fmla="*/ 0 w 1954925"/>
            <a:gd name="connsiteY18" fmla="*/ 4603531 h 46035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954925" h="4603531">
              <a:moveTo>
                <a:pt x="977463" y="3097779"/>
              </a:moveTo>
              <a:cubicBezTo>
                <a:pt x="658204" y="3097779"/>
                <a:pt x="399394" y="3356589"/>
                <a:pt x="399394" y="3675848"/>
              </a:cubicBezTo>
              <a:cubicBezTo>
                <a:pt x="399394" y="3995107"/>
                <a:pt x="658204" y="4253917"/>
                <a:pt x="977463" y="4253917"/>
              </a:cubicBezTo>
              <a:cubicBezTo>
                <a:pt x="1296722" y="4253917"/>
                <a:pt x="1555532" y="3995107"/>
                <a:pt x="1555532" y="3675848"/>
              </a:cubicBezTo>
              <a:cubicBezTo>
                <a:pt x="1555532" y="3356589"/>
                <a:pt x="1296722" y="3097779"/>
                <a:pt x="977463" y="3097779"/>
              </a:cubicBezTo>
              <a:close/>
              <a:moveTo>
                <a:pt x="977462" y="1723696"/>
              </a:moveTo>
              <a:cubicBezTo>
                <a:pt x="658203" y="1723696"/>
                <a:pt x="399393" y="1982506"/>
                <a:pt x="399393" y="2301765"/>
              </a:cubicBezTo>
              <a:cubicBezTo>
                <a:pt x="399393" y="2621024"/>
                <a:pt x="658203" y="2879834"/>
                <a:pt x="977462" y="2879834"/>
              </a:cubicBezTo>
              <a:cubicBezTo>
                <a:pt x="1296721" y="2879834"/>
                <a:pt x="1555531" y="2621024"/>
                <a:pt x="1555531" y="2301765"/>
              </a:cubicBezTo>
              <a:cubicBezTo>
                <a:pt x="1555531" y="1982506"/>
                <a:pt x="1296721" y="1723696"/>
                <a:pt x="977462" y="1723696"/>
              </a:cubicBezTo>
              <a:close/>
              <a:moveTo>
                <a:pt x="977462" y="349613"/>
              </a:moveTo>
              <a:cubicBezTo>
                <a:pt x="658203" y="349613"/>
                <a:pt x="399393" y="608423"/>
                <a:pt x="399393" y="927682"/>
              </a:cubicBezTo>
              <a:cubicBezTo>
                <a:pt x="399393" y="1246941"/>
                <a:pt x="658203" y="1505751"/>
                <a:pt x="977462" y="1505751"/>
              </a:cubicBezTo>
              <a:cubicBezTo>
                <a:pt x="1296721" y="1505751"/>
                <a:pt x="1555531" y="1246941"/>
                <a:pt x="1555531" y="927682"/>
              </a:cubicBezTo>
              <a:cubicBezTo>
                <a:pt x="1555531" y="608423"/>
                <a:pt x="1296721" y="349613"/>
                <a:pt x="977462" y="349613"/>
              </a:cubicBezTo>
              <a:close/>
              <a:moveTo>
                <a:pt x="0" y="0"/>
              </a:moveTo>
              <a:lnTo>
                <a:pt x="1954925" y="0"/>
              </a:lnTo>
              <a:lnTo>
                <a:pt x="1954925" y="4603531"/>
              </a:lnTo>
              <a:lnTo>
                <a:pt x="0" y="4603531"/>
              </a:lnTo>
              <a:close/>
            </a:path>
          </a:pathLst>
        </a:cu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545271</xdr:colOff>
          <xdr:row>20</xdr:row>
          <xdr:rowOff>117337</xdr:rowOff>
        </xdr:from>
        <xdr:to>
          <xdr:col>4</xdr:col>
          <xdr:colOff>104360</xdr:colOff>
          <xdr:row>22</xdr:row>
          <xdr:rowOff>151848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0FDB9F13-69C7-D01F-3C94-0CE6E42AC1C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18" spid="_x0000_s5664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3609836" y="4313859"/>
              <a:ext cx="373546" cy="42793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110435</xdr:colOff>
          <xdr:row>20</xdr:row>
          <xdr:rowOff>96630</xdr:rowOff>
        </xdr:from>
        <xdr:to>
          <xdr:col>4</xdr:col>
          <xdr:colOff>456371</xdr:colOff>
          <xdr:row>22</xdr:row>
          <xdr:rowOff>147982</xdr:rowOff>
        </xdr:to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00CE6565-7AE5-8470-2503-0A842E30807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19" spid="_x0000_s5665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3989457" y="4293152"/>
              <a:ext cx="345936" cy="44477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448641</xdr:colOff>
          <xdr:row>20</xdr:row>
          <xdr:rowOff>110436</xdr:rowOff>
        </xdr:from>
        <xdr:to>
          <xdr:col>4</xdr:col>
          <xdr:colOff>835991</xdr:colOff>
          <xdr:row>22</xdr:row>
          <xdr:rowOff>130038</xdr:rowOff>
        </xdr:to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6720679C-65BC-A466-A0ED-E6A3242B14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20" spid="_x0000_s5666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4327663" y="4306958"/>
              <a:ext cx="387350" cy="4130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502357</xdr:colOff>
      <xdr:row>20</xdr:row>
      <xdr:rowOff>79023</xdr:rowOff>
    </xdr:from>
    <xdr:to>
      <xdr:col>4</xdr:col>
      <xdr:colOff>867317</xdr:colOff>
      <xdr:row>22</xdr:row>
      <xdr:rowOff>162622</xdr:rowOff>
    </xdr:to>
    <xdr:sp macro="" textlink="">
      <xdr:nvSpPr>
        <xdr:cNvPr id="25" name="Freeform 24">
          <a:extLst>
            <a:ext uri="{FF2B5EF4-FFF2-40B4-BE49-F238E27FC236}">
              <a16:creationId xmlns:a16="http://schemas.microsoft.com/office/drawing/2014/main" id="{25AFC0AC-4EC5-3545-90CA-5E2DF7B5F17A}"/>
            </a:ext>
          </a:extLst>
        </xdr:cNvPr>
        <xdr:cNvSpPr/>
      </xdr:nvSpPr>
      <xdr:spPr>
        <a:xfrm rot="16200000">
          <a:off x="3910964" y="3934196"/>
          <a:ext cx="478538" cy="1178070"/>
        </a:xfrm>
        <a:custGeom>
          <a:avLst/>
          <a:gdLst>
            <a:gd name="connsiteX0" fmla="*/ 977463 w 1954925"/>
            <a:gd name="connsiteY0" fmla="*/ 3097779 h 4603531"/>
            <a:gd name="connsiteX1" fmla="*/ 399394 w 1954925"/>
            <a:gd name="connsiteY1" fmla="*/ 3675848 h 4603531"/>
            <a:gd name="connsiteX2" fmla="*/ 977463 w 1954925"/>
            <a:gd name="connsiteY2" fmla="*/ 4253917 h 4603531"/>
            <a:gd name="connsiteX3" fmla="*/ 1555532 w 1954925"/>
            <a:gd name="connsiteY3" fmla="*/ 3675848 h 4603531"/>
            <a:gd name="connsiteX4" fmla="*/ 977463 w 1954925"/>
            <a:gd name="connsiteY4" fmla="*/ 3097779 h 4603531"/>
            <a:gd name="connsiteX5" fmla="*/ 977462 w 1954925"/>
            <a:gd name="connsiteY5" fmla="*/ 1723696 h 4603531"/>
            <a:gd name="connsiteX6" fmla="*/ 399393 w 1954925"/>
            <a:gd name="connsiteY6" fmla="*/ 2301765 h 4603531"/>
            <a:gd name="connsiteX7" fmla="*/ 977462 w 1954925"/>
            <a:gd name="connsiteY7" fmla="*/ 2879834 h 4603531"/>
            <a:gd name="connsiteX8" fmla="*/ 1555531 w 1954925"/>
            <a:gd name="connsiteY8" fmla="*/ 2301765 h 4603531"/>
            <a:gd name="connsiteX9" fmla="*/ 977462 w 1954925"/>
            <a:gd name="connsiteY9" fmla="*/ 1723696 h 4603531"/>
            <a:gd name="connsiteX10" fmla="*/ 977462 w 1954925"/>
            <a:gd name="connsiteY10" fmla="*/ 349613 h 4603531"/>
            <a:gd name="connsiteX11" fmla="*/ 399393 w 1954925"/>
            <a:gd name="connsiteY11" fmla="*/ 927682 h 4603531"/>
            <a:gd name="connsiteX12" fmla="*/ 977462 w 1954925"/>
            <a:gd name="connsiteY12" fmla="*/ 1505751 h 4603531"/>
            <a:gd name="connsiteX13" fmla="*/ 1555531 w 1954925"/>
            <a:gd name="connsiteY13" fmla="*/ 927682 h 4603531"/>
            <a:gd name="connsiteX14" fmla="*/ 977462 w 1954925"/>
            <a:gd name="connsiteY14" fmla="*/ 349613 h 4603531"/>
            <a:gd name="connsiteX15" fmla="*/ 0 w 1954925"/>
            <a:gd name="connsiteY15" fmla="*/ 0 h 4603531"/>
            <a:gd name="connsiteX16" fmla="*/ 1954925 w 1954925"/>
            <a:gd name="connsiteY16" fmla="*/ 0 h 4603531"/>
            <a:gd name="connsiteX17" fmla="*/ 1954925 w 1954925"/>
            <a:gd name="connsiteY17" fmla="*/ 4603531 h 4603531"/>
            <a:gd name="connsiteX18" fmla="*/ 0 w 1954925"/>
            <a:gd name="connsiteY18" fmla="*/ 4603531 h 46035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954925" h="4603531">
              <a:moveTo>
                <a:pt x="977463" y="3097779"/>
              </a:moveTo>
              <a:cubicBezTo>
                <a:pt x="658204" y="3097779"/>
                <a:pt x="399394" y="3356589"/>
                <a:pt x="399394" y="3675848"/>
              </a:cubicBezTo>
              <a:cubicBezTo>
                <a:pt x="399394" y="3995107"/>
                <a:pt x="658204" y="4253917"/>
                <a:pt x="977463" y="4253917"/>
              </a:cubicBezTo>
              <a:cubicBezTo>
                <a:pt x="1296722" y="4253917"/>
                <a:pt x="1555532" y="3995107"/>
                <a:pt x="1555532" y="3675848"/>
              </a:cubicBezTo>
              <a:cubicBezTo>
                <a:pt x="1555532" y="3356589"/>
                <a:pt x="1296722" y="3097779"/>
                <a:pt x="977463" y="3097779"/>
              </a:cubicBezTo>
              <a:close/>
              <a:moveTo>
                <a:pt x="977462" y="1723696"/>
              </a:moveTo>
              <a:cubicBezTo>
                <a:pt x="658203" y="1723696"/>
                <a:pt x="399393" y="1982506"/>
                <a:pt x="399393" y="2301765"/>
              </a:cubicBezTo>
              <a:cubicBezTo>
                <a:pt x="399393" y="2621024"/>
                <a:pt x="658203" y="2879834"/>
                <a:pt x="977462" y="2879834"/>
              </a:cubicBezTo>
              <a:cubicBezTo>
                <a:pt x="1296721" y="2879834"/>
                <a:pt x="1555531" y="2621024"/>
                <a:pt x="1555531" y="2301765"/>
              </a:cubicBezTo>
              <a:cubicBezTo>
                <a:pt x="1555531" y="1982506"/>
                <a:pt x="1296721" y="1723696"/>
                <a:pt x="977462" y="1723696"/>
              </a:cubicBezTo>
              <a:close/>
              <a:moveTo>
                <a:pt x="977462" y="349613"/>
              </a:moveTo>
              <a:cubicBezTo>
                <a:pt x="658203" y="349613"/>
                <a:pt x="399393" y="608423"/>
                <a:pt x="399393" y="927682"/>
              </a:cubicBezTo>
              <a:cubicBezTo>
                <a:pt x="399393" y="1246941"/>
                <a:pt x="658203" y="1505751"/>
                <a:pt x="977462" y="1505751"/>
              </a:cubicBezTo>
              <a:cubicBezTo>
                <a:pt x="1296721" y="1505751"/>
                <a:pt x="1555531" y="1246941"/>
                <a:pt x="1555531" y="927682"/>
              </a:cubicBezTo>
              <a:cubicBezTo>
                <a:pt x="1555531" y="608423"/>
                <a:pt x="1296721" y="349613"/>
                <a:pt x="977462" y="349613"/>
              </a:cubicBezTo>
              <a:close/>
              <a:moveTo>
                <a:pt x="0" y="0"/>
              </a:moveTo>
              <a:lnTo>
                <a:pt x="1954925" y="0"/>
              </a:lnTo>
              <a:lnTo>
                <a:pt x="1954925" y="4603531"/>
              </a:lnTo>
              <a:lnTo>
                <a:pt x="0" y="4603531"/>
              </a:lnTo>
              <a:close/>
            </a:path>
          </a:pathLst>
        </a:cu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510761</xdr:colOff>
          <xdr:row>23</xdr:row>
          <xdr:rowOff>96631</xdr:rowOff>
        </xdr:from>
        <xdr:to>
          <xdr:col>4</xdr:col>
          <xdr:colOff>114023</xdr:colOff>
          <xdr:row>25</xdr:row>
          <xdr:rowOff>127277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39FB6A49-613B-9EB3-8436-CFBC9694FA7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23" spid="_x0000_s5667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3575326" y="4941957"/>
              <a:ext cx="417719" cy="4240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117336</xdr:colOff>
          <xdr:row>23</xdr:row>
          <xdr:rowOff>62120</xdr:rowOff>
        </xdr:from>
        <xdr:to>
          <xdr:col>4</xdr:col>
          <xdr:colOff>477077</xdr:colOff>
          <xdr:row>25</xdr:row>
          <xdr:rowOff>144946</xdr:rowOff>
        </xdr:to>
        <xdr:pic>
          <xdr:nvPicPr>
            <xdr:cNvPr id="37" name="Picture 36">
              <a:extLst>
                <a:ext uri="{FF2B5EF4-FFF2-40B4-BE49-F238E27FC236}">
                  <a16:creationId xmlns:a16="http://schemas.microsoft.com/office/drawing/2014/main" id="{7747B5D0-9C93-5EBD-8A58-44AF48819F2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24" spid="_x0000_s5668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3996358" y="4907446"/>
              <a:ext cx="359741" cy="476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476250</xdr:colOff>
          <xdr:row>23</xdr:row>
          <xdr:rowOff>75924</xdr:rowOff>
        </xdr:from>
        <xdr:to>
          <xdr:col>4</xdr:col>
          <xdr:colOff>842066</xdr:colOff>
          <xdr:row>25</xdr:row>
          <xdr:rowOff>116233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EF69CD8E-1B7A-D304-7A57-72C0B95485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25" spid="_x0000_s5669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4355272" y="4921250"/>
              <a:ext cx="365816" cy="4337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506106</xdr:colOff>
      <xdr:row>23</xdr:row>
      <xdr:rowOff>77438</xdr:rowOff>
    </xdr:from>
    <xdr:to>
      <xdr:col>4</xdr:col>
      <xdr:colOff>871348</xdr:colOff>
      <xdr:row>25</xdr:row>
      <xdr:rowOff>151432</xdr:rowOff>
    </xdr:to>
    <xdr:sp macro="" textlink="">
      <xdr:nvSpPr>
        <xdr:cNvPr id="23" name="Freeform 22">
          <a:extLst>
            <a:ext uri="{FF2B5EF4-FFF2-40B4-BE49-F238E27FC236}">
              <a16:creationId xmlns:a16="http://schemas.microsoft.com/office/drawing/2014/main" id="{33226710-5E81-F948-99C1-2FDC84BE2A95}"/>
            </a:ext>
          </a:extLst>
        </xdr:cNvPr>
        <xdr:cNvSpPr/>
      </xdr:nvSpPr>
      <xdr:spPr>
        <a:xfrm rot="16200000">
          <a:off x="3919656" y="4578156"/>
          <a:ext cx="468933" cy="1178352"/>
        </a:xfrm>
        <a:custGeom>
          <a:avLst/>
          <a:gdLst>
            <a:gd name="connsiteX0" fmla="*/ 977463 w 1954925"/>
            <a:gd name="connsiteY0" fmla="*/ 3097779 h 4603531"/>
            <a:gd name="connsiteX1" fmla="*/ 399394 w 1954925"/>
            <a:gd name="connsiteY1" fmla="*/ 3675848 h 4603531"/>
            <a:gd name="connsiteX2" fmla="*/ 977463 w 1954925"/>
            <a:gd name="connsiteY2" fmla="*/ 4253917 h 4603531"/>
            <a:gd name="connsiteX3" fmla="*/ 1555532 w 1954925"/>
            <a:gd name="connsiteY3" fmla="*/ 3675848 h 4603531"/>
            <a:gd name="connsiteX4" fmla="*/ 977463 w 1954925"/>
            <a:gd name="connsiteY4" fmla="*/ 3097779 h 4603531"/>
            <a:gd name="connsiteX5" fmla="*/ 977462 w 1954925"/>
            <a:gd name="connsiteY5" fmla="*/ 1723696 h 4603531"/>
            <a:gd name="connsiteX6" fmla="*/ 399393 w 1954925"/>
            <a:gd name="connsiteY6" fmla="*/ 2301765 h 4603531"/>
            <a:gd name="connsiteX7" fmla="*/ 977462 w 1954925"/>
            <a:gd name="connsiteY7" fmla="*/ 2879834 h 4603531"/>
            <a:gd name="connsiteX8" fmla="*/ 1555531 w 1954925"/>
            <a:gd name="connsiteY8" fmla="*/ 2301765 h 4603531"/>
            <a:gd name="connsiteX9" fmla="*/ 977462 w 1954925"/>
            <a:gd name="connsiteY9" fmla="*/ 1723696 h 4603531"/>
            <a:gd name="connsiteX10" fmla="*/ 977462 w 1954925"/>
            <a:gd name="connsiteY10" fmla="*/ 349613 h 4603531"/>
            <a:gd name="connsiteX11" fmla="*/ 399393 w 1954925"/>
            <a:gd name="connsiteY11" fmla="*/ 927682 h 4603531"/>
            <a:gd name="connsiteX12" fmla="*/ 977462 w 1954925"/>
            <a:gd name="connsiteY12" fmla="*/ 1505751 h 4603531"/>
            <a:gd name="connsiteX13" fmla="*/ 1555531 w 1954925"/>
            <a:gd name="connsiteY13" fmla="*/ 927682 h 4603531"/>
            <a:gd name="connsiteX14" fmla="*/ 977462 w 1954925"/>
            <a:gd name="connsiteY14" fmla="*/ 349613 h 4603531"/>
            <a:gd name="connsiteX15" fmla="*/ 0 w 1954925"/>
            <a:gd name="connsiteY15" fmla="*/ 0 h 4603531"/>
            <a:gd name="connsiteX16" fmla="*/ 1954925 w 1954925"/>
            <a:gd name="connsiteY16" fmla="*/ 0 h 4603531"/>
            <a:gd name="connsiteX17" fmla="*/ 1954925 w 1954925"/>
            <a:gd name="connsiteY17" fmla="*/ 4603531 h 4603531"/>
            <a:gd name="connsiteX18" fmla="*/ 0 w 1954925"/>
            <a:gd name="connsiteY18" fmla="*/ 4603531 h 46035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954925" h="4603531">
              <a:moveTo>
                <a:pt x="977463" y="3097779"/>
              </a:moveTo>
              <a:cubicBezTo>
                <a:pt x="658204" y="3097779"/>
                <a:pt x="399394" y="3356589"/>
                <a:pt x="399394" y="3675848"/>
              </a:cubicBezTo>
              <a:cubicBezTo>
                <a:pt x="399394" y="3995107"/>
                <a:pt x="658204" y="4253917"/>
                <a:pt x="977463" y="4253917"/>
              </a:cubicBezTo>
              <a:cubicBezTo>
                <a:pt x="1296722" y="4253917"/>
                <a:pt x="1555532" y="3995107"/>
                <a:pt x="1555532" y="3675848"/>
              </a:cubicBezTo>
              <a:cubicBezTo>
                <a:pt x="1555532" y="3356589"/>
                <a:pt x="1296722" y="3097779"/>
                <a:pt x="977463" y="3097779"/>
              </a:cubicBezTo>
              <a:close/>
              <a:moveTo>
                <a:pt x="977462" y="1723696"/>
              </a:moveTo>
              <a:cubicBezTo>
                <a:pt x="658203" y="1723696"/>
                <a:pt x="399393" y="1982506"/>
                <a:pt x="399393" y="2301765"/>
              </a:cubicBezTo>
              <a:cubicBezTo>
                <a:pt x="399393" y="2621024"/>
                <a:pt x="658203" y="2879834"/>
                <a:pt x="977462" y="2879834"/>
              </a:cubicBezTo>
              <a:cubicBezTo>
                <a:pt x="1296721" y="2879834"/>
                <a:pt x="1555531" y="2621024"/>
                <a:pt x="1555531" y="2301765"/>
              </a:cubicBezTo>
              <a:cubicBezTo>
                <a:pt x="1555531" y="1982506"/>
                <a:pt x="1296721" y="1723696"/>
                <a:pt x="977462" y="1723696"/>
              </a:cubicBezTo>
              <a:close/>
              <a:moveTo>
                <a:pt x="977462" y="349613"/>
              </a:moveTo>
              <a:cubicBezTo>
                <a:pt x="658203" y="349613"/>
                <a:pt x="399393" y="608423"/>
                <a:pt x="399393" y="927682"/>
              </a:cubicBezTo>
              <a:cubicBezTo>
                <a:pt x="399393" y="1246941"/>
                <a:pt x="658203" y="1505751"/>
                <a:pt x="977462" y="1505751"/>
              </a:cubicBezTo>
              <a:cubicBezTo>
                <a:pt x="1296721" y="1505751"/>
                <a:pt x="1555531" y="1246941"/>
                <a:pt x="1555531" y="927682"/>
              </a:cubicBezTo>
              <a:cubicBezTo>
                <a:pt x="1555531" y="608423"/>
                <a:pt x="1296721" y="349613"/>
                <a:pt x="977462" y="349613"/>
              </a:cubicBezTo>
              <a:close/>
              <a:moveTo>
                <a:pt x="0" y="0"/>
              </a:moveTo>
              <a:lnTo>
                <a:pt x="1954925" y="0"/>
              </a:lnTo>
              <a:lnTo>
                <a:pt x="1954925" y="4603531"/>
              </a:lnTo>
              <a:lnTo>
                <a:pt x="0" y="4603531"/>
              </a:lnTo>
              <a:close/>
            </a:path>
          </a:pathLst>
        </a:cu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641901</xdr:colOff>
          <xdr:row>26</xdr:row>
          <xdr:rowOff>69022</xdr:rowOff>
        </xdr:from>
        <xdr:to>
          <xdr:col>4</xdr:col>
          <xdr:colOff>97457</xdr:colOff>
          <xdr:row>27</xdr:row>
          <xdr:rowOff>141080</xdr:rowOff>
        </xdr:to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5800E37C-65F7-6E11-DE83-400A4415986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28" spid="_x0000_s5670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3706466" y="5563152"/>
              <a:ext cx="270013" cy="27222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110434</xdr:colOff>
          <xdr:row>26</xdr:row>
          <xdr:rowOff>55218</xdr:rowOff>
        </xdr:from>
        <xdr:to>
          <xdr:col>4</xdr:col>
          <xdr:colOff>452230</xdr:colOff>
          <xdr:row>27</xdr:row>
          <xdr:rowOff>151849</xdr:rowOff>
        </xdr:to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41CFED66-9999-D292-A7F8-73E2655894F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29" spid="_x0000_s5671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3989456" y="5549348"/>
              <a:ext cx="341796" cy="29679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462445</xdr:colOff>
          <xdr:row>25</xdr:row>
          <xdr:rowOff>255380</xdr:rowOff>
        </xdr:from>
        <xdr:to>
          <xdr:col>4</xdr:col>
          <xdr:colOff>746262</xdr:colOff>
          <xdr:row>27</xdr:row>
          <xdr:rowOff>147983</xdr:rowOff>
        </xdr:to>
        <xdr:pic>
          <xdr:nvPicPr>
            <xdr:cNvPr id="41" name="Picture 40">
              <a:extLst>
                <a:ext uri="{FF2B5EF4-FFF2-40B4-BE49-F238E27FC236}">
                  <a16:creationId xmlns:a16="http://schemas.microsoft.com/office/drawing/2014/main" id="{C99B11B9-6594-0280-929D-B56A61A61C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toplight contro panel'!$B$30" spid="_x0000_s5672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4341467" y="5494130"/>
              <a:ext cx="283817" cy="34814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580632</xdr:colOff>
      <xdr:row>26</xdr:row>
      <xdr:rowOff>15488</xdr:rowOff>
    </xdr:from>
    <xdr:to>
      <xdr:col>4</xdr:col>
      <xdr:colOff>801499</xdr:colOff>
      <xdr:row>28</xdr:row>
      <xdr:rowOff>11449</xdr:rowOff>
    </xdr:to>
    <xdr:sp macro="" textlink="">
      <xdr:nvSpPr>
        <xdr:cNvPr id="26" name="Freeform 25">
          <a:extLst>
            <a:ext uri="{FF2B5EF4-FFF2-40B4-BE49-F238E27FC236}">
              <a16:creationId xmlns:a16="http://schemas.microsoft.com/office/drawing/2014/main" id="{C0A3407D-D22F-B242-B7EC-9A5275D2305A}"/>
            </a:ext>
          </a:extLst>
        </xdr:cNvPr>
        <xdr:cNvSpPr/>
      </xdr:nvSpPr>
      <xdr:spPr>
        <a:xfrm rot="16200000">
          <a:off x="3957140" y="5203736"/>
          <a:ext cx="398644" cy="1033977"/>
        </a:xfrm>
        <a:custGeom>
          <a:avLst/>
          <a:gdLst>
            <a:gd name="connsiteX0" fmla="*/ 977463 w 1954925"/>
            <a:gd name="connsiteY0" fmla="*/ 3097779 h 4603531"/>
            <a:gd name="connsiteX1" fmla="*/ 399394 w 1954925"/>
            <a:gd name="connsiteY1" fmla="*/ 3675848 h 4603531"/>
            <a:gd name="connsiteX2" fmla="*/ 977463 w 1954925"/>
            <a:gd name="connsiteY2" fmla="*/ 4253917 h 4603531"/>
            <a:gd name="connsiteX3" fmla="*/ 1555532 w 1954925"/>
            <a:gd name="connsiteY3" fmla="*/ 3675848 h 4603531"/>
            <a:gd name="connsiteX4" fmla="*/ 977463 w 1954925"/>
            <a:gd name="connsiteY4" fmla="*/ 3097779 h 4603531"/>
            <a:gd name="connsiteX5" fmla="*/ 977462 w 1954925"/>
            <a:gd name="connsiteY5" fmla="*/ 1723696 h 4603531"/>
            <a:gd name="connsiteX6" fmla="*/ 399393 w 1954925"/>
            <a:gd name="connsiteY6" fmla="*/ 2301765 h 4603531"/>
            <a:gd name="connsiteX7" fmla="*/ 977462 w 1954925"/>
            <a:gd name="connsiteY7" fmla="*/ 2879834 h 4603531"/>
            <a:gd name="connsiteX8" fmla="*/ 1555531 w 1954925"/>
            <a:gd name="connsiteY8" fmla="*/ 2301765 h 4603531"/>
            <a:gd name="connsiteX9" fmla="*/ 977462 w 1954925"/>
            <a:gd name="connsiteY9" fmla="*/ 1723696 h 4603531"/>
            <a:gd name="connsiteX10" fmla="*/ 977462 w 1954925"/>
            <a:gd name="connsiteY10" fmla="*/ 349613 h 4603531"/>
            <a:gd name="connsiteX11" fmla="*/ 399393 w 1954925"/>
            <a:gd name="connsiteY11" fmla="*/ 927682 h 4603531"/>
            <a:gd name="connsiteX12" fmla="*/ 977462 w 1954925"/>
            <a:gd name="connsiteY12" fmla="*/ 1505751 h 4603531"/>
            <a:gd name="connsiteX13" fmla="*/ 1555531 w 1954925"/>
            <a:gd name="connsiteY13" fmla="*/ 927682 h 4603531"/>
            <a:gd name="connsiteX14" fmla="*/ 977462 w 1954925"/>
            <a:gd name="connsiteY14" fmla="*/ 349613 h 4603531"/>
            <a:gd name="connsiteX15" fmla="*/ 0 w 1954925"/>
            <a:gd name="connsiteY15" fmla="*/ 0 h 4603531"/>
            <a:gd name="connsiteX16" fmla="*/ 1954925 w 1954925"/>
            <a:gd name="connsiteY16" fmla="*/ 0 h 4603531"/>
            <a:gd name="connsiteX17" fmla="*/ 1954925 w 1954925"/>
            <a:gd name="connsiteY17" fmla="*/ 4603531 h 4603531"/>
            <a:gd name="connsiteX18" fmla="*/ 0 w 1954925"/>
            <a:gd name="connsiteY18" fmla="*/ 4603531 h 46035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1954925" h="4603531">
              <a:moveTo>
                <a:pt x="977463" y="3097779"/>
              </a:moveTo>
              <a:cubicBezTo>
                <a:pt x="658204" y="3097779"/>
                <a:pt x="399394" y="3356589"/>
                <a:pt x="399394" y="3675848"/>
              </a:cubicBezTo>
              <a:cubicBezTo>
                <a:pt x="399394" y="3995107"/>
                <a:pt x="658204" y="4253917"/>
                <a:pt x="977463" y="4253917"/>
              </a:cubicBezTo>
              <a:cubicBezTo>
                <a:pt x="1296722" y="4253917"/>
                <a:pt x="1555532" y="3995107"/>
                <a:pt x="1555532" y="3675848"/>
              </a:cubicBezTo>
              <a:cubicBezTo>
                <a:pt x="1555532" y="3356589"/>
                <a:pt x="1296722" y="3097779"/>
                <a:pt x="977463" y="3097779"/>
              </a:cubicBezTo>
              <a:close/>
              <a:moveTo>
                <a:pt x="977462" y="1723696"/>
              </a:moveTo>
              <a:cubicBezTo>
                <a:pt x="658203" y="1723696"/>
                <a:pt x="399393" y="1982506"/>
                <a:pt x="399393" y="2301765"/>
              </a:cubicBezTo>
              <a:cubicBezTo>
                <a:pt x="399393" y="2621024"/>
                <a:pt x="658203" y="2879834"/>
                <a:pt x="977462" y="2879834"/>
              </a:cubicBezTo>
              <a:cubicBezTo>
                <a:pt x="1296721" y="2879834"/>
                <a:pt x="1555531" y="2621024"/>
                <a:pt x="1555531" y="2301765"/>
              </a:cubicBezTo>
              <a:cubicBezTo>
                <a:pt x="1555531" y="1982506"/>
                <a:pt x="1296721" y="1723696"/>
                <a:pt x="977462" y="1723696"/>
              </a:cubicBezTo>
              <a:close/>
              <a:moveTo>
                <a:pt x="977462" y="349613"/>
              </a:moveTo>
              <a:cubicBezTo>
                <a:pt x="658203" y="349613"/>
                <a:pt x="399393" y="608423"/>
                <a:pt x="399393" y="927682"/>
              </a:cubicBezTo>
              <a:cubicBezTo>
                <a:pt x="399393" y="1246941"/>
                <a:pt x="658203" y="1505751"/>
                <a:pt x="977462" y="1505751"/>
              </a:cubicBezTo>
              <a:cubicBezTo>
                <a:pt x="1296721" y="1505751"/>
                <a:pt x="1555531" y="1246941"/>
                <a:pt x="1555531" y="927682"/>
              </a:cubicBezTo>
              <a:cubicBezTo>
                <a:pt x="1555531" y="608423"/>
                <a:pt x="1296721" y="349613"/>
                <a:pt x="977462" y="349613"/>
              </a:cubicBezTo>
              <a:close/>
              <a:moveTo>
                <a:pt x="0" y="0"/>
              </a:moveTo>
              <a:lnTo>
                <a:pt x="1954925" y="0"/>
              </a:lnTo>
              <a:lnTo>
                <a:pt x="1954925" y="4603531"/>
              </a:lnTo>
              <a:lnTo>
                <a:pt x="0" y="4603531"/>
              </a:lnTo>
              <a:close/>
            </a:path>
          </a:pathLst>
        </a:cu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7720CE-7ED9-451A-B407-8940E0BA77FB}" autoFormatId="16" applyNumberFormats="0" applyBorderFormats="0" applyFontFormats="0" applyPatternFormats="0" applyAlignmentFormats="0" applyWidthHeightFormats="0">
  <queryTableRefresh nextId="33">
    <queryTableFields count="32">
      <queryTableField id="1" name="Rk" tableColumnId="1"/>
      <queryTableField id="2" name="G" tableColumnId="2"/>
      <queryTableField id="3" name="Date" tableColumnId="3"/>
      <queryTableField id="4" name="Age" tableColumnId="4"/>
      <queryTableField id="5" name="Tm" tableColumnId="5"/>
      <queryTableField id="6" name="HomeOrRoad" tableColumnId="6"/>
      <queryTableField id="7" name="Opp" tableColumnId="7"/>
      <queryTableField id="8" name="GoodOrBadTeam" tableColumnId="8"/>
      <queryTableField id="9" name="GameResult" tableColumnId="9"/>
      <queryTableField id="10" name="GS" tableColumnId="10"/>
      <queryTableField id="11" name="MP" tableColumnId="11"/>
      <queryTableField id="12" name="FG" tableColumnId="12"/>
      <queryTableField id="13" name="FGA" tableColumnId="13"/>
      <queryTableField id="14" name="FG%" tableColumnId="14"/>
      <queryTableField id="15" name="3P" tableColumnId="15"/>
      <queryTableField id="16" name="3PA" tableColumnId="16"/>
      <queryTableField id="17" name="3P%" tableColumnId="17"/>
      <queryTableField id="18" name="FT" tableColumnId="18"/>
      <queryTableField id="19" name="FTA" tableColumnId="19"/>
      <queryTableField id="20" name="FT%" tableColumnId="20"/>
      <queryTableField id="21" name="ORB" tableColumnId="21"/>
      <queryTableField id="22" name="DRB" tableColumnId="22"/>
      <queryTableField id="23" name="TRB" tableColumnId="23"/>
      <queryTableField id="24" name="AST" tableColumnId="24"/>
      <queryTableField id="25" name="STL" tableColumnId="25"/>
      <queryTableField id="26" name="BLK" tableColumnId="26"/>
      <queryTableField id="27" name="TOV" tableColumnId="27"/>
      <queryTableField id="28" name="PF" tableColumnId="28"/>
      <queryTableField id="29" name="PTS" tableColumnId="29"/>
      <queryTableField id="30" name="GmSc" tableColumnId="30"/>
      <queryTableField id="31" name="+/-" tableColumnId="31"/>
      <queryTableField id="32" name="WinOrLoss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DDB92F-3D65-48F1-8799-6089F53BADFA}" autoFormatId="16" applyNumberFormats="0" applyBorderFormats="0" applyFontFormats="0" applyPatternFormats="0" applyAlignmentFormats="0" applyWidthHeightFormats="0">
  <queryTableRefresh nextId="33">
    <queryTableFields count="32">
      <queryTableField id="1" name="Rk" tableColumnId="1"/>
      <queryTableField id="2" name="G" tableColumnId="2"/>
      <queryTableField id="3" name="Date" tableColumnId="3"/>
      <queryTableField id="4" name="Age" tableColumnId="4"/>
      <queryTableField id="5" name="Tm" tableColumnId="5"/>
      <queryTableField id="6" name="HomeOrRoad" tableColumnId="6"/>
      <queryTableField id="7" name="Opp" tableColumnId="7"/>
      <queryTableField id="8" name="GoodOrBadTeam" tableColumnId="8"/>
      <queryTableField id="9" name="GameResult" tableColumnId="9"/>
      <queryTableField id="10" name="GS" tableColumnId="10"/>
      <queryTableField id="11" name="MP" tableColumnId="11"/>
      <queryTableField id="12" name="FG" tableColumnId="12"/>
      <queryTableField id="13" name="FGA" tableColumnId="13"/>
      <queryTableField id="14" name="FG%" tableColumnId="14"/>
      <queryTableField id="15" name="3P" tableColumnId="15"/>
      <queryTableField id="16" name="3PA" tableColumnId="16"/>
      <queryTableField id="17" name="3P%" tableColumnId="17"/>
      <queryTableField id="18" name="FT" tableColumnId="18"/>
      <queryTableField id="19" name="FTA" tableColumnId="19"/>
      <queryTableField id="20" name="FT%" tableColumnId="20"/>
      <queryTableField id="21" name="ORB" tableColumnId="21"/>
      <queryTableField id="22" name="DRB" tableColumnId="22"/>
      <queryTableField id="23" name="TRB" tableColumnId="23"/>
      <queryTableField id="24" name="AST" tableColumnId="24"/>
      <queryTableField id="25" name="STL" tableColumnId="25"/>
      <queryTableField id="26" name="BLK" tableColumnId="26"/>
      <queryTableField id="27" name="TOV" tableColumnId="27"/>
      <queryTableField id="28" name="PF" tableColumnId="28"/>
      <queryTableField id="29" name="PTS" tableColumnId="29"/>
      <queryTableField id="30" name="GmSc" tableColumnId="30"/>
      <queryTableField id="31" name="+/-" tableColumnId="31"/>
      <queryTableField id="32" name="WinOrLoss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28929-39D9-44C0-B639-EE386158CA98}" name="_2021_22_Regular_Season_Table" displayName="_2021_22_Regular_Season_Table" ref="A1:AF73" tableType="queryTable" totalsRowShown="0">
  <autoFilter ref="A1:AF73" xr:uid="{1B128929-39D9-44C0-B639-EE386158CA98}"/>
  <tableColumns count="32">
    <tableColumn id="1" xr3:uid="{CFF9F72B-A6E4-420A-8352-4839BBA56D2A}" uniqueName="1" name="Rk" queryTableFieldId="1"/>
    <tableColumn id="2" xr3:uid="{2BCA4425-88D5-421F-8CCB-DEB1A0BD22A6}" uniqueName="2" name="G" queryTableFieldId="2"/>
    <tableColumn id="3" xr3:uid="{1A0CCD52-65DE-4408-B5C3-90AF42AFD59D}" uniqueName="3" name="Date" queryTableFieldId="3" dataDxfId="35"/>
    <tableColumn id="4" xr3:uid="{55B67364-C931-464F-AB63-68D3474B3B56}" uniqueName="4" name="Age" queryTableFieldId="4" dataDxfId="34"/>
    <tableColumn id="5" xr3:uid="{20831999-0949-4372-9782-3F772A31F47A}" uniqueName="5" name="Tm" queryTableFieldId="5" dataDxfId="33"/>
    <tableColumn id="6" xr3:uid="{6AD64CBD-B1D3-47BD-9E3B-C6BB8F835DC1}" uniqueName="6" name="HomeOrRoad" queryTableFieldId="6" dataDxfId="32"/>
    <tableColumn id="7" xr3:uid="{44AB041C-FAD9-456E-B1B2-BBF86552E59F}" uniqueName="7" name="Opp" queryTableFieldId="7" dataDxfId="31"/>
    <tableColumn id="8" xr3:uid="{87098739-56F3-46EF-AF24-B8C2FF1A40F9}" uniqueName="8" name="GoodOrBadTeam" queryTableFieldId="8" dataDxfId="30"/>
    <tableColumn id="9" xr3:uid="{D14C58A7-73EE-457F-9D7D-1297A37FD0B4}" uniqueName="9" name="GameResult" queryTableFieldId="9" dataDxfId="29"/>
    <tableColumn id="10" xr3:uid="{368A4F71-6C63-4EE9-A382-5C6E9F4B3424}" uniqueName="10" name="GS" queryTableFieldId="10"/>
    <tableColumn id="11" xr3:uid="{34B87750-F752-412B-AAA8-9F649F60E936}" uniqueName="11" name="MP" queryTableFieldId="11" dataDxfId="28"/>
    <tableColumn id="12" xr3:uid="{DDD71A36-BE85-43E3-9E55-B27DF4B92433}" uniqueName="12" name="FG" queryTableFieldId="12"/>
    <tableColumn id="13" xr3:uid="{0E637D58-6C5B-46AD-8181-2A4CB1D11B17}" uniqueName="13" name="FGA" queryTableFieldId="13"/>
    <tableColumn id="14" xr3:uid="{A20A2516-3699-42CA-81C3-27CD4E152216}" uniqueName="14" name="FG%" queryTableFieldId="14"/>
    <tableColumn id="15" xr3:uid="{FC052B36-A87D-405E-80C4-A2CEE9EFB8E5}" uniqueName="15" name="3P" queryTableFieldId="15"/>
    <tableColumn id="16" xr3:uid="{5A2058D2-23CF-4525-BC42-51FCEEF5B4E5}" uniqueName="16" name="3PA" queryTableFieldId="16"/>
    <tableColumn id="17" xr3:uid="{B6192442-E5B7-4214-82E4-B51B47C89F1E}" uniqueName="17" name="3P%" queryTableFieldId="17"/>
    <tableColumn id="18" xr3:uid="{F71A2E5A-ED6C-4E49-8DAC-28FC23D9DD73}" uniqueName="18" name="FT" queryTableFieldId="18"/>
    <tableColumn id="19" xr3:uid="{6BB328F8-95B5-478D-A221-7E3C282EA207}" uniqueName="19" name="FTA" queryTableFieldId="19"/>
    <tableColumn id="20" xr3:uid="{457F55B0-73DA-496B-ABA8-09A68FA97477}" uniqueName="20" name="FT%" queryTableFieldId="20"/>
    <tableColumn id="21" xr3:uid="{3B67E4DA-E729-4D24-9D1E-E03397523041}" uniqueName="21" name="ORB" queryTableFieldId="21"/>
    <tableColumn id="22" xr3:uid="{B29FAA62-FE2F-4FDF-B934-7E0672CE1B23}" uniqueName="22" name="DRB" queryTableFieldId="22"/>
    <tableColumn id="23" xr3:uid="{A3004F09-0557-46D7-BE10-491F0F020631}" uniqueName="23" name="TRB" queryTableFieldId="23"/>
    <tableColumn id="24" xr3:uid="{E117450C-9AE7-4744-8E6B-F3107E451C5D}" uniqueName="24" name="AST" queryTableFieldId="24"/>
    <tableColumn id="25" xr3:uid="{90CC3867-E049-4BA3-8041-C9AD59A32D18}" uniqueName="25" name="STL" queryTableFieldId="25"/>
    <tableColumn id="26" xr3:uid="{A5437FFF-C432-4CA7-B859-88641C9D6B20}" uniqueName="26" name="BLK" queryTableFieldId="26"/>
    <tableColumn id="27" xr3:uid="{9E8A2608-1DA5-4C08-AA04-CCACD5AF4686}" uniqueName="27" name="TOV" queryTableFieldId="27"/>
    <tableColumn id="28" xr3:uid="{E9C787F2-E1D6-4A35-B027-7C75968A7049}" uniqueName="28" name="PF" queryTableFieldId="28"/>
    <tableColumn id="29" xr3:uid="{84DD136E-C519-4F9C-BF5D-27BCC0DF7780}" uniqueName="29" name="PTS" queryTableFieldId="29"/>
    <tableColumn id="30" xr3:uid="{E4D7DCE7-D1B6-45BB-BBDB-93D20D0888A3}" uniqueName="30" name="GmSc" queryTableFieldId="30"/>
    <tableColumn id="31" xr3:uid="{1710A23F-6377-42F1-AA32-BB7627DBD476}" uniqueName="31" name="+/-" queryTableFieldId="31"/>
    <tableColumn id="32" xr3:uid="{36372168-3796-4456-8A34-AB048FEF67D2}" uniqueName="32" name="WinOrLoss" queryTableFieldId="32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0624-D2FE-44C8-A547-3149392AD1F1}" name="Career_Regular_Season_Statistics" displayName="Career_Regular_Season_Statistics" ref="A1:AF134" tableType="queryTable" totalsRowShown="0">
  <tableColumns count="32">
    <tableColumn id="1" xr3:uid="{3DBC5C35-2AF9-4106-9E8C-E66E3843059C}" uniqueName="1" name="Rk" queryTableFieldId="1"/>
    <tableColumn id="2" xr3:uid="{BBA998A0-2198-4B28-A770-5FCCB5163CCA}" uniqueName="2" name="G" queryTableFieldId="2"/>
    <tableColumn id="3" xr3:uid="{7A9E3C50-7C9C-48C6-A44F-9521C2EEE650}" uniqueName="3" name="Date" queryTableFieldId="3" dataDxfId="26"/>
    <tableColumn id="4" xr3:uid="{532FE0AF-91E3-4B5C-96C7-B8BC31972BA1}" uniqueName="4" name="Age" queryTableFieldId="4" dataDxfId="25"/>
    <tableColumn id="5" xr3:uid="{F6F02E35-F92D-4C87-8817-09176C000E8F}" uniqueName="5" name="Tm" queryTableFieldId="5" dataDxfId="24"/>
    <tableColumn id="6" xr3:uid="{3FE7099A-D13C-4B93-AC55-C3E94D5E63D5}" uniqueName="6" name="HomeOrRoad" queryTableFieldId="6" dataDxfId="23"/>
    <tableColumn id="7" xr3:uid="{71ABC81B-EE4B-4E17-9802-75DE08A0DEB4}" uniqueName="7" name="Opp" queryTableFieldId="7" dataDxfId="22"/>
    <tableColumn id="8" xr3:uid="{860E3E8E-3F69-4A4A-9A7E-778D1DC4B44E}" uniqueName="8" name="GoodOrBadTeam" queryTableFieldId="8" dataDxfId="21"/>
    <tableColumn id="9" xr3:uid="{EFF1DA59-FB48-4F72-9702-402AF15F9347}" uniqueName="9" name="GameResult" queryTableFieldId="9" dataDxfId="20"/>
    <tableColumn id="10" xr3:uid="{D49596ED-68B8-486D-84E1-7630F4FD7114}" uniqueName="10" name="GS" queryTableFieldId="10"/>
    <tableColumn id="11" xr3:uid="{A81EF7B3-C749-4FB7-A881-426927294544}" uniqueName="11" name="MP" queryTableFieldId="11" dataDxfId="19"/>
    <tableColumn id="12" xr3:uid="{CBB259E1-F718-43C4-9809-19CCF8224FEC}" uniqueName="12" name="FG" queryTableFieldId="12"/>
    <tableColumn id="13" xr3:uid="{D63DF461-B183-4ACC-8DC6-E56125B3BC74}" uniqueName="13" name="FGA" queryTableFieldId="13"/>
    <tableColumn id="14" xr3:uid="{CC3A6BB3-91E5-476D-882B-7A9A1759ED9E}" uniqueName="14" name="FG%" queryTableFieldId="14"/>
    <tableColumn id="15" xr3:uid="{93E8F12D-CC8F-4FC4-B03A-1BCAC267D965}" uniqueName="15" name="3P" queryTableFieldId="15"/>
    <tableColumn id="16" xr3:uid="{879480F8-D038-458A-89D9-89C0D5873907}" uniqueName="16" name="3PA" queryTableFieldId="16"/>
    <tableColumn id="17" xr3:uid="{4AF1E666-EA42-4F14-8B7C-B380635BCA0B}" uniqueName="17" name="3P%" queryTableFieldId="17"/>
    <tableColumn id="18" xr3:uid="{47CF65F2-186F-40A3-BA3B-3B2FAE4CBB0F}" uniqueName="18" name="FT" queryTableFieldId="18"/>
    <tableColumn id="19" xr3:uid="{2AAD33D7-8C50-4B9D-9FB2-A24D4B05B85A}" uniqueName="19" name="FTA" queryTableFieldId="19"/>
    <tableColumn id="20" xr3:uid="{83A1A396-5BAA-4D4F-86AA-94F8CF2EF18E}" uniqueName="20" name="FT%" queryTableFieldId="20"/>
    <tableColumn id="21" xr3:uid="{D213EAB5-E8CF-4DCD-B80C-ABC2E992BCAC}" uniqueName="21" name="ORB" queryTableFieldId="21"/>
    <tableColumn id="22" xr3:uid="{AA54BFCE-5C16-4066-9777-63ED85EB8556}" uniqueName="22" name="DRB" queryTableFieldId="22"/>
    <tableColumn id="23" xr3:uid="{A9327104-977A-4428-8F1E-ABF3DC9EFB18}" uniqueName="23" name="TRB" queryTableFieldId="23"/>
    <tableColumn id="24" xr3:uid="{94ED9235-0DFF-420D-BDF1-BF2199290C1C}" uniqueName="24" name="AST" queryTableFieldId="24"/>
    <tableColumn id="25" xr3:uid="{5B4565FE-5651-4178-A2FB-7556E0D6D3F4}" uniqueName="25" name="STL" queryTableFieldId="25"/>
    <tableColumn id="26" xr3:uid="{BECE9423-D66A-4522-8B0B-E65FDD670DB1}" uniqueName="26" name="BLK" queryTableFieldId="26"/>
    <tableColumn id="27" xr3:uid="{CAF88998-4D95-4823-A0D8-A0F053CE9692}" uniqueName="27" name="TOV" queryTableFieldId="27"/>
    <tableColumn id="28" xr3:uid="{798331CC-F131-4E0E-9E55-F5F54E256EF6}" uniqueName="28" name="PF" queryTableFieldId="28"/>
    <tableColumn id="29" xr3:uid="{292220F2-04D2-47A0-B013-07DA50B792DE}" uniqueName="29" name="PTS" queryTableFieldId="29"/>
    <tableColumn id="30" xr3:uid="{2A08D3A6-03C2-4A2E-8741-8188846DDFB6}" uniqueName="30" name="GmSc" queryTableFieldId="30"/>
    <tableColumn id="31" xr3:uid="{D97D8F11-62BC-4662-930A-9F41140E0EF9}" uniqueName="31" name="+/-" queryTableFieldId="31"/>
    <tableColumn id="32" xr3:uid="{6BABF119-ACBB-4C6A-B5D0-286C55FF336B}" uniqueName="32" name="WinOrLoss" queryTableFieldId="32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D1A3-D3D7-4D52-B88F-0576B793B5A3}">
  <dimension ref="A10:E30"/>
  <sheetViews>
    <sheetView showGridLines="0" tabSelected="1" zoomScale="164" zoomScaleNormal="194" workbookViewId="0">
      <selection activeCell="K19" sqref="K19"/>
    </sheetView>
  </sheetViews>
  <sheetFormatPr baseColWidth="10" defaultColWidth="8.83203125" defaultRowHeight="15" x14ac:dyDescent="0.2"/>
  <cols>
    <col min="1" max="1" width="20.6640625" customWidth="1"/>
    <col min="2" max="2" width="8.83203125" bestFit="1" customWidth="1"/>
    <col min="3" max="4" width="10.6640625" customWidth="1"/>
    <col min="5" max="5" width="12" customWidth="1"/>
    <col min="6" max="6" width="1.6640625" customWidth="1"/>
    <col min="8" max="8" width="6.33203125" customWidth="1"/>
  </cols>
  <sheetData>
    <row r="10" spans="1:5" ht="20" thickBot="1" x14ac:dyDescent="0.3">
      <c r="A10" s="26" t="s">
        <v>404</v>
      </c>
      <c r="B10" s="27"/>
      <c r="C10" s="27"/>
      <c r="D10" s="27"/>
      <c r="E10" s="28"/>
    </row>
    <row r="11" spans="1:5" ht="20" x14ac:dyDescent="0.25">
      <c r="A11" s="2" t="s">
        <v>388</v>
      </c>
      <c r="B11" s="3" t="s">
        <v>397</v>
      </c>
      <c r="C11" s="3" t="s">
        <v>398</v>
      </c>
      <c r="D11" s="4" t="s">
        <v>396</v>
      </c>
      <c r="E11" s="5" t="s">
        <v>401</v>
      </c>
    </row>
    <row r="12" spans="1:5" ht="16" x14ac:dyDescent="0.2">
      <c r="A12" s="6" t="s">
        <v>9</v>
      </c>
      <c r="B12" s="7">
        <v>15</v>
      </c>
      <c r="C12" s="17">
        <f>AVERAGE('2021-22 Data'!AC:AC)</f>
        <v>17.305555555555557</v>
      </c>
      <c r="D12" s="7">
        <f>C12-B12</f>
        <v>2.3055555555555571</v>
      </c>
      <c r="E12" s="6"/>
    </row>
    <row r="13" spans="1:5" x14ac:dyDescent="0.2">
      <c r="A13" s="5"/>
      <c r="B13" s="8"/>
      <c r="C13" s="8"/>
      <c r="D13" s="8"/>
      <c r="E13" s="5"/>
    </row>
    <row r="14" spans="1:5" ht="20" x14ac:dyDescent="0.25">
      <c r="A14" s="9" t="s">
        <v>389</v>
      </c>
      <c r="B14" s="10" t="s">
        <v>397</v>
      </c>
      <c r="C14" s="10" t="s">
        <v>398</v>
      </c>
      <c r="D14" s="10"/>
      <c r="E14" s="11"/>
    </row>
    <row r="15" spans="1:5" ht="16" x14ac:dyDescent="0.2">
      <c r="A15" s="5" t="s">
        <v>390</v>
      </c>
      <c r="B15" s="7">
        <v>3</v>
      </c>
      <c r="C15" s="17">
        <f>AVERAGE('2021-22 Data'!W:W)</f>
        <v>3.25</v>
      </c>
      <c r="D15" s="7">
        <f>C15-B15</f>
        <v>0.25</v>
      </c>
      <c r="E15" s="5"/>
    </row>
    <row r="16" spans="1:5" x14ac:dyDescent="0.2">
      <c r="A16" s="5"/>
      <c r="B16" s="8"/>
      <c r="C16" s="8"/>
      <c r="D16" s="8"/>
      <c r="E16" s="5"/>
    </row>
    <row r="17" spans="1:5" ht="20" x14ac:dyDescent="0.25">
      <c r="A17" s="9" t="s">
        <v>392</v>
      </c>
      <c r="B17" s="10" t="s">
        <v>397</v>
      </c>
      <c r="C17" s="10" t="s">
        <v>398</v>
      </c>
      <c r="D17" s="10"/>
      <c r="E17" s="11"/>
    </row>
    <row r="18" spans="1:5" ht="16" x14ac:dyDescent="0.2">
      <c r="A18" s="5" t="s">
        <v>393</v>
      </c>
      <c r="B18" s="7">
        <v>0.7</v>
      </c>
      <c r="C18" s="17">
        <f>AVERAGE('2021-22 Data'!Z:Z)</f>
        <v>0.43055555555555558</v>
      </c>
      <c r="D18" s="7">
        <f>C18-B18</f>
        <v>-0.26944444444444438</v>
      </c>
      <c r="E18" s="5"/>
    </row>
    <row r="19" spans="1:5" x14ac:dyDescent="0.2">
      <c r="A19" s="5"/>
      <c r="B19" s="8"/>
      <c r="C19" s="8"/>
      <c r="D19" s="8"/>
      <c r="E19" s="5"/>
    </row>
    <row r="20" spans="1:5" ht="20" x14ac:dyDescent="0.25">
      <c r="A20" s="9" t="s">
        <v>391</v>
      </c>
      <c r="B20" s="10" t="s">
        <v>397</v>
      </c>
      <c r="C20" s="10" t="s">
        <v>398</v>
      </c>
      <c r="D20" s="10"/>
      <c r="E20" s="11"/>
    </row>
    <row r="21" spans="1:5" ht="16" x14ac:dyDescent="0.2">
      <c r="A21" s="5" t="s">
        <v>10</v>
      </c>
      <c r="B21" s="7">
        <v>4.5</v>
      </c>
      <c r="C21" s="17">
        <f>AVERAGE('2021-22 Data'!X:X)</f>
        <v>4.291666666666667</v>
      </c>
      <c r="D21" s="7">
        <f>C21-B21</f>
        <v>-0.20833333333333304</v>
      </c>
      <c r="E21" s="5"/>
    </row>
    <row r="22" spans="1:5" x14ac:dyDescent="0.2">
      <c r="A22" s="5"/>
      <c r="B22" s="4"/>
      <c r="C22" s="4"/>
      <c r="D22" s="4"/>
      <c r="E22" s="5"/>
    </row>
    <row r="23" spans="1:5" ht="20" x14ac:dyDescent="0.25">
      <c r="A23" s="9" t="s">
        <v>395</v>
      </c>
      <c r="B23" s="10" t="s">
        <v>397</v>
      </c>
      <c r="C23" s="10" t="s">
        <v>398</v>
      </c>
      <c r="D23" s="10"/>
      <c r="E23" s="11"/>
    </row>
    <row r="24" spans="1:5" ht="16" x14ac:dyDescent="0.2">
      <c r="A24" s="5" t="s">
        <v>387</v>
      </c>
      <c r="B24" s="18">
        <v>2.1</v>
      </c>
      <c r="C24" s="20">
        <f>AVERAGE('2021-22 Data'!AB:AB)</f>
        <v>2.0833333333333335</v>
      </c>
      <c r="D24" s="19">
        <f>C24-B24</f>
        <v>-1.6666666666666607E-2</v>
      </c>
      <c r="E24" s="5"/>
    </row>
    <row r="25" spans="1:5" x14ac:dyDescent="0.2">
      <c r="A25" s="5"/>
      <c r="B25" s="8"/>
      <c r="C25" s="4"/>
      <c r="D25" s="4"/>
      <c r="E25" s="5"/>
    </row>
    <row r="26" spans="1:5" ht="20" x14ac:dyDescent="0.25">
      <c r="A26" s="9" t="s">
        <v>394</v>
      </c>
      <c r="B26" s="10" t="s">
        <v>397</v>
      </c>
      <c r="C26" s="10" t="s">
        <v>398</v>
      </c>
      <c r="D26" s="10"/>
      <c r="E26" s="11"/>
    </row>
    <row r="27" spans="1:5" ht="16" x14ac:dyDescent="0.2">
      <c r="A27" s="5" t="s">
        <v>386</v>
      </c>
      <c r="B27" s="18">
        <v>1</v>
      </c>
      <c r="C27" s="20">
        <f>AVERAGE('2021-22 Data'!AA:AA)</f>
        <v>1.1666666666666667</v>
      </c>
      <c r="D27" s="19">
        <f>C27-B27</f>
        <v>0.16666666666666674</v>
      </c>
      <c r="E27" s="5"/>
    </row>
    <row r="28" spans="1:5" ht="16" thickBot="1" x14ac:dyDescent="0.25">
      <c r="A28" s="12"/>
      <c r="B28" s="13"/>
      <c r="C28" s="13"/>
      <c r="D28" s="13"/>
      <c r="E28" s="12"/>
    </row>
    <row r="29" spans="1:5" ht="16" customHeight="1" x14ac:dyDescent="0.2"/>
    <row r="30" spans="1:5" ht="30" customHeight="1" x14ac:dyDescent="0.2"/>
  </sheetData>
  <mergeCells count="1">
    <mergeCell ref="A10:E1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2758-0E91-4999-A1FB-D26A0C70320D}">
  <dimension ref="A2:B30"/>
  <sheetViews>
    <sheetView zoomScale="182" zoomScaleNormal="160" workbookViewId="0">
      <selection activeCell="J3" sqref="J3"/>
    </sheetView>
  </sheetViews>
  <sheetFormatPr baseColWidth="10" defaultColWidth="9.1640625" defaultRowHeight="15" x14ac:dyDescent="0.2"/>
  <cols>
    <col min="1" max="1" width="20.5" style="15" bestFit="1" customWidth="1"/>
    <col min="2" max="16384" width="9.1640625" style="15"/>
  </cols>
  <sheetData>
    <row r="2" spans="1:2" x14ac:dyDescent="0.2">
      <c r="A2" s="14" t="s">
        <v>9</v>
      </c>
      <c r="B2" s="14" t="s">
        <v>402</v>
      </c>
    </row>
    <row r="3" spans="1:2" ht="25" customHeight="1" x14ac:dyDescent="0.2">
      <c r="A3" s="16" t="s">
        <v>399</v>
      </c>
      <c r="B3" s="21"/>
    </row>
    <row r="4" spans="1:2" ht="25" customHeight="1" x14ac:dyDescent="0.2">
      <c r="A4" s="16" t="s">
        <v>400</v>
      </c>
      <c r="B4" s="21"/>
    </row>
    <row r="5" spans="1:2" ht="25" customHeight="1" x14ac:dyDescent="0.2">
      <c r="A5" s="16" t="s">
        <v>403</v>
      </c>
      <c r="B5" s="21"/>
    </row>
    <row r="7" spans="1:2" x14ac:dyDescent="0.2">
      <c r="A7" s="23" t="s">
        <v>390</v>
      </c>
      <c r="B7" s="23" t="s">
        <v>402</v>
      </c>
    </row>
    <row r="8" spans="1:2" x14ac:dyDescent="0.2">
      <c r="A8" s="24" t="s">
        <v>399</v>
      </c>
      <c r="B8" s="25"/>
    </row>
    <row r="9" spans="1:2" x14ac:dyDescent="0.2">
      <c r="A9" s="24" t="s">
        <v>400</v>
      </c>
      <c r="B9" s="22"/>
    </row>
    <row r="10" spans="1:2" x14ac:dyDescent="0.2">
      <c r="A10" s="24" t="s">
        <v>403</v>
      </c>
      <c r="B10" s="22"/>
    </row>
    <row r="12" spans="1:2" x14ac:dyDescent="0.2">
      <c r="A12" s="23" t="s">
        <v>393</v>
      </c>
      <c r="B12" s="23" t="s">
        <v>402</v>
      </c>
    </row>
    <row r="13" spans="1:2" x14ac:dyDescent="0.2">
      <c r="A13" s="24" t="s">
        <v>399</v>
      </c>
      <c r="B13" s="25"/>
    </row>
    <row r="14" spans="1:2" x14ac:dyDescent="0.2">
      <c r="A14" s="24" t="s">
        <v>400</v>
      </c>
      <c r="B14" s="22"/>
    </row>
    <row r="15" spans="1:2" x14ac:dyDescent="0.2">
      <c r="A15" s="24" t="s">
        <v>403</v>
      </c>
      <c r="B15" s="22"/>
    </row>
    <row r="17" spans="1:2" x14ac:dyDescent="0.2">
      <c r="A17" s="23" t="s">
        <v>10</v>
      </c>
      <c r="B17" s="23" t="s">
        <v>402</v>
      </c>
    </row>
    <row r="18" spans="1:2" x14ac:dyDescent="0.2">
      <c r="A18" s="24" t="s">
        <v>399</v>
      </c>
      <c r="B18" s="25"/>
    </row>
    <row r="19" spans="1:2" x14ac:dyDescent="0.2">
      <c r="A19" s="24" t="s">
        <v>400</v>
      </c>
      <c r="B19" s="22"/>
    </row>
    <row r="20" spans="1:2" x14ac:dyDescent="0.2">
      <c r="A20" s="24" t="s">
        <v>403</v>
      </c>
      <c r="B20" s="22"/>
    </row>
    <row r="22" spans="1:2" x14ac:dyDescent="0.2">
      <c r="A22" s="23" t="s">
        <v>387</v>
      </c>
      <c r="B22" s="23" t="s">
        <v>402</v>
      </c>
    </row>
    <row r="23" spans="1:2" x14ac:dyDescent="0.2">
      <c r="A23" s="24" t="s">
        <v>399</v>
      </c>
      <c r="B23" s="25"/>
    </row>
    <row r="24" spans="1:2" x14ac:dyDescent="0.2">
      <c r="A24" s="24" t="s">
        <v>400</v>
      </c>
      <c r="B24" s="22"/>
    </row>
    <row r="25" spans="1:2" x14ac:dyDescent="0.2">
      <c r="A25" s="24" t="s">
        <v>403</v>
      </c>
      <c r="B25" s="22"/>
    </row>
    <row r="27" spans="1:2" x14ac:dyDescent="0.2">
      <c r="A27" s="23" t="s">
        <v>386</v>
      </c>
      <c r="B27" s="23" t="s">
        <v>402</v>
      </c>
    </row>
    <row r="28" spans="1:2" x14ac:dyDescent="0.2">
      <c r="A28" s="24" t="s">
        <v>399</v>
      </c>
      <c r="B28" s="25"/>
    </row>
    <row r="29" spans="1:2" x14ac:dyDescent="0.2">
      <c r="A29" s="24" t="s">
        <v>400</v>
      </c>
      <c r="B29" s="22"/>
    </row>
    <row r="30" spans="1:2" x14ac:dyDescent="0.2">
      <c r="A30" s="24" t="s">
        <v>403</v>
      </c>
      <c r="B30" s="22"/>
    </row>
  </sheetData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88488AA8-8CE6-DD43-83AC-1E9D3E332F57}">
            <xm:f xml:space="preserve"> 'The dashboard report'!$C$12&gt;='The dashboard report'!$B$12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</xm:sqref>
        </x14:conditionalFormatting>
        <x14:conditionalFormatting xmlns:xm="http://schemas.microsoft.com/office/excel/2006/main">
          <x14:cfRule type="expression" priority="21" id="{7AC4F4C6-A14C-E541-BCAB-4BCEE6C7014B}">
            <xm:f>AND('The dashboard report'!$C$12&lt;'The dashboard report'!$B$12,'The dashboard report'!$C$12&gt;='The dashboard report'!$B$12*0.9)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B4</xm:sqref>
        </x14:conditionalFormatting>
        <x14:conditionalFormatting xmlns:xm="http://schemas.microsoft.com/office/excel/2006/main">
          <x14:cfRule type="expression" priority="20" id="{85847E2A-130D-1C49-A837-A51A8D1BD1DF}">
            <xm:f>'The dashboard report'!$C$12&lt;'The dashboard report'!$B$12*0.9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expression" priority="13" id="{F88BD6BD-7B17-EA4E-B265-2A3CC77EF4CB}">
            <xm:f>'The dashboard report'!$C$15&gt;='The dashboard report'!$B$15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</xm:sqref>
        </x14:conditionalFormatting>
        <x14:conditionalFormatting xmlns:xm="http://schemas.microsoft.com/office/excel/2006/main">
          <x14:cfRule type="expression" priority="16" id="{6E78DFAC-5B55-954F-BB1E-4DCC6D947D51}">
            <xm:f>AND('The dashboard report'!$C$15&lt;'The dashboard report'!$B$15,'The dashboard report'!$C$15&gt;='The dashboard report'!$B$15*0.9)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B9</xm:sqref>
        </x14:conditionalFormatting>
        <x14:conditionalFormatting xmlns:xm="http://schemas.microsoft.com/office/excel/2006/main">
          <x14:cfRule type="expression" priority="15" id="{AE8BE04A-4AC9-4948-BC6C-4C8551831B58}">
            <xm:f>AND('The dashboard report'!$C$15&lt;'The dashboard report'!$B$15,'The dashboard report'!$C$15&lt;'The dashboard report'!$B$15*0.9)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12" id="{29E32E8B-419C-7848-B075-2DAC8D8C7FDB}">
            <xm:f xml:space="preserve"> 'The dashboard report'!$C$18&gt;='The dashboard report'!$B$18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11" id="{C98E4A28-A25D-A049-9C26-7444AD124E81}">
            <xm:f>AND('The dashboard report'!$C$18&lt;'The dashboard report'!$B$18,'The dashboard report'!$C$18&gt;='The dashboard report'!$B$18*0.9)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10" id="{AA554C45-A0FE-454A-8BB1-AA6D1ED521EE}">
            <xm:f>'The dashboard report'!$C$18&lt;'The dashboard report'!$B$18*0.9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9" id="{96BF76F7-0948-5A45-B38C-303B109F236B}">
            <xm:f xml:space="preserve"> 'The dashboard report'!$C$21&gt;='The dashboard report'!$B$21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B18</xm:sqref>
        </x14:conditionalFormatting>
        <x14:conditionalFormatting xmlns:xm="http://schemas.microsoft.com/office/excel/2006/main">
          <x14:cfRule type="expression" priority="8" id="{D297D2CC-9BDC-A04B-955E-68C83DCC18BF}">
            <xm:f>AND('The dashboard report'!$C$21&lt;'The dashboard report'!$B$21,'The dashboard report'!$C$21&gt;='The dashboard report'!$B$21*0.9)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7" id="{DBE4FD78-2179-4D48-81A1-7C96651078E3}">
            <xm:f>'The dashboard report'!$C$21&lt;'The dashboard report'!$B$21*0.9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B20</xm:sqref>
        </x14:conditionalFormatting>
        <x14:conditionalFormatting xmlns:xm="http://schemas.microsoft.com/office/excel/2006/main">
          <x14:cfRule type="expression" priority="6" id="{AB356376-689B-0C47-A952-4E91CB9DC0CC}">
            <xm:f xml:space="preserve"> 'The dashboard report'!$C$24&gt;='The dashboard report'!$B$24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5" id="{0857A0CD-F796-2B4C-920B-3289BC3F7A5E}">
            <xm:f>AND('The dashboard report'!$C$24&lt;'The dashboard report'!$B$24,'The dashboard report'!$C$24&gt;='The dashboard report'!$B$24*0.9)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expression" priority="4" id="{5BD207BD-514C-AB43-AC72-81DF77077A2B}">
            <xm:f>'The dashboard report'!$C$24&lt;'The dashboard report'!$B$24*0.9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B25</xm:sqref>
        </x14:conditionalFormatting>
        <x14:conditionalFormatting xmlns:xm="http://schemas.microsoft.com/office/excel/2006/main">
          <x14:cfRule type="expression" priority="3" id="{2E81313E-91CE-434D-A320-A73466003EF9}">
            <xm:f xml:space="preserve"> 'The dashboard report'!$C$27&gt;='The dashboard report'!$B$27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2" id="{BA5CF84A-60DF-8746-B2AA-874CABBB808B}">
            <xm:f>AND('The dashboard report'!$C$27&lt;'The dashboard report'!$B$27,'The dashboard report'!$C$27&gt;='The dashboard report'!$B$27*0.9)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B29</xm:sqref>
        </x14:conditionalFormatting>
        <x14:conditionalFormatting xmlns:xm="http://schemas.microsoft.com/office/excel/2006/main">
          <x14:cfRule type="expression" priority="1" id="{DF39C181-7AF4-F143-A6A5-B36BF8FDE914}">
            <xm:f>'The dashboard report'!$C$27&lt;'The dashboard report'!$B$27*0.9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364A-30A9-497D-B4C5-C7F61182AD42}">
  <dimension ref="A1:AF73"/>
  <sheetViews>
    <sheetView topLeftCell="Q1" zoomScale="120" zoomScaleNormal="120" workbookViewId="0"/>
  </sheetViews>
  <sheetFormatPr baseColWidth="10" defaultColWidth="8.83203125" defaultRowHeight="15" x14ac:dyDescent="0.2"/>
  <cols>
    <col min="1" max="1" width="5.5" bestFit="1" customWidth="1"/>
    <col min="2" max="2" width="4.6640625" bestFit="1" customWidth="1"/>
    <col min="3" max="3" width="10.6640625" bestFit="1" customWidth="1"/>
    <col min="4" max="4" width="6.6640625" bestFit="1" customWidth="1"/>
    <col min="5" max="5" width="6" bestFit="1" customWidth="1"/>
    <col min="6" max="6" width="15.1640625" bestFit="1" customWidth="1"/>
    <col min="7" max="7" width="7" bestFit="1" customWidth="1"/>
    <col min="8" max="8" width="18.5" bestFit="1" customWidth="1"/>
    <col min="9" max="9" width="14.1640625" bestFit="1" customWidth="1"/>
    <col min="10" max="10" width="5.6640625" bestFit="1" customWidth="1"/>
    <col min="11" max="11" width="6.33203125" bestFit="1" customWidth="1"/>
    <col min="12" max="12" width="5.6640625" bestFit="1" customWidth="1"/>
    <col min="13" max="13" width="7" bestFit="1" customWidth="1"/>
    <col min="14" max="14" width="7.33203125" bestFit="1" customWidth="1"/>
    <col min="15" max="15" width="5.5" bestFit="1" customWidth="1"/>
    <col min="16" max="16" width="6.6640625" bestFit="1" customWidth="1"/>
    <col min="17" max="17" width="7" bestFit="1" customWidth="1"/>
    <col min="18" max="18" width="5.33203125" bestFit="1" customWidth="1"/>
    <col min="19" max="19" width="6.5" bestFit="1" customWidth="1"/>
    <col min="20" max="20" width="6.83203125" bestFit="1" customWidth="1"/>
    <col min="21" max="21" width="7" bestFit="1" customWidth="1"/>
    <col min="22" max="22" width="6.83203125" bestFit="1" customWidth="1"/>
    <col min="23" max="24" width="6.5" bestFit="1" customWidth="1"/>
    <col min="25" max="25" width="6.1640625" bestFit="1" customWidth="1"/>
    <col min="26" max="26" width="6.5" bestFit="1" customWidth="1"/>
    <col min="27" max="27" width="7" bestFit="1" customWidth="1"/>
    <col min="28" max="28" width="5.5" bestFit="1" customWidth="1"/>
    <col min="29" max="29" width="6.5" bestFit="1" customWidth="1"/>
    <col min="30" max="30" width="8.33203125" bestFit="1" customWidth="1"/>
    <col min="31" max="31" width="5.83203125" bestFit="1" customWidth="1"/>
    <col min="32" max="32" width="12.83203125" bestFit="1" customWidth="1"/>
  </cols>
  <sheetData>
    <row r="1" spans="1:32" x14ac:dyDescent="0.2">
      <c r="A1" t="s">
        <v>42</v>
      </c>
      <c r="B1" t="s">
        <v>43</v>
      </c>
      <c r="C1" t="s">
        <v>6</v>
      </c>
      <c r="D1" t="s">
        <v>44</v>
      </c>
      <c r="E1" t="s">
        <v>45</v>
      </c>
      <c r="F1" t="s">
        <v>8</v>
      </c>
      <c r="G1" t="s">
        <v>11</v>
      </c>
      <c r="H1" t="s">
        <v>7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5</v>
      </c>
    </row>
    <row r="2" spans="1:32" x14ac:dyDescent="0.2">
      <c r="A2">
        <v>1</v>
      </c>
      <c r="B2">
        <v>1</v>
      </c>
      <c r="C2" s="1">
        <v>44489</v>
      </c>
      <c r="D2" t="s">
        <v>249</v>
      </c>
      <c r="E2" t="s">
        <v>70</v>
      </c>
      <c r="F2" t="s">
        <v>3</v>
      </c>
      <c r="G2" t="s">
        <v>31</v>
      </c>
      <c r="H2" t="s">
        <v>0</v>
      </c>
      <c r="I2" t="s">
        <v>250</v>
      </c>
      <c r="J2">
        <v>1</v>
      </c>
      <c r="K2" t="s">
        <v>251</v>
      </c>
      <c r="L2">
        <v>8</v>
      </c>
      <c r="M2">
        <v>14</v>
      </c>
      <c r="N2">
        <v>0.57099999999999995</v>
      </c>
      <c r="O2">
        <v>2</v>
      </c>
      <c r="P2">
        <v>3</v>
      </c>
      <c r="Q2">
        <v>0.66700000000000004</v>
      </c>
      <c r="R2">
        <v>2</v>
      </c>
      <c r="S2">
        <v>2</v>
      </c>
      <c r="T2">
        <v>1</v>
      </c>
      <c r="U2">
        <v>0</v>
      </c>
      <c r="V2">
        <v>7</v>
      </c>
      <c r="W2">
        <v>7</v>
      </c>
      <c r="X2">
        <v>5</v>
      </c>
      <c r="Y2">
        <v>0</v>
      </c>
      <c r="Z2">
        <v>0</v>
      </c>
      <c r="AA2">
        <v>1</v>
      </c>
      <c r="AB2">
        <v>2</v>
      </c>
      <c r="AC2">
        <v>20</v>
      </c>
      <c r="AD2">
        <v>17.2</v>
      </c>
      <c r="AE2">
        <v>23</v>
      </c>
      <c r="AF2" t="s">
        <v>4</v>
      </c>
    </row>
    <row r="3" spans="1:32" x14ac:dyDescent="0.2">
      <c r="A3">
        <v>2</v>
      </c>
      <c r="B3">
        <v>2</v>
      </c>
      <c r="C3" s="1">
        <v>44491</v>
      </c>
      <c r="D3" t="s">
        <v>247</v>
      </c>
      <c r="E3" t="s">
        <v>70</v>
      </c>
      <c r="F3" t="s">
        <v>2</v>
      </c>
      <c r="G3" t="s">
        <v>15</v>
      </c>
      <c r="H3" t="s">
        <v>0</v>
      </c>
      <c r="I3" t="s">
        <v>98</v>
      </c>
      <c r="J3">
        <v>1</v>
      </c>
      <c r="K3" t="s">
        <v>248</v>
      </c>
      <c r="L3">
        <v>7</v>
      </c>
      <c r="M3">
        <v>17</v>
      </c>
      <c r="N3">
        <v>0.41199999999999998</v>
      </c>
      <c r="O3">
        <v>1</v>
      </c>
      <c r="P3">
        <v>5</v>
      </c>
      <c r="Q3">
        <v>0.2</v>
      </c>
      <c r="R3">
        <v>0</v>
      </c>
      <c r="S3">
        <v>0</v>
      </c>
      <c r="U3">
        <v>0</v>
      </c>
      <c r="V3">
        <v>2</v>
      </c>
      <c r="W3">
        <v>2</v>
      </c>
      <c r="X3">
        <v>2</v>
      </c>
      <c r="Y3">
        <v>1</v>
      </c>
      <c r="Z3">
        <v>0</v>
      </c>
      <c r="AA3">
        <v>0</v>
      </c>
      <c r="AB3">
        <v>3</v>
      </c>
      <c r="AC3">
        <v>15</v>
      </c>
      <c r="AD3">
        <v>7.7</v>
      </c>
      <c r="AE3">
        <v>-9</v>
      </c>
      <c r="AF3" t="s">
        <v>12</v>
      </c>
    </row>
    <row r="4" spans="1:32" x14ac:dyDescent="0.2">
      <c r="A4">
        <v>3</v>
      </c>
      <c r="B4">
        <v>3</v>
      </c>
      <c r="C4" s="1">
        <v>44493</v>
      </c>
      <c r="D4" t="s">
        <v>245</v>
      </c>
      <c r="E4" t="s">
        <v>70</v>
      </c>
      <c r="F4" t="s">
        <v>3</v>
      </c>
      <c r="G4" t="s">
        <v>33</v>
      </c>
      <c r="H4" t="s">
        <v>0</v>
      </c>
      <c r="I4" t="s">
        <v>175</v>
      </c>
      <c r="J4">
        <v>1</v>
      </c>
      <c r="K4" t="s">
        <v>246</v>
      </c>
      <c r="L4">
        <v>4</v>
      </c>
      <c r="M4">
        <v>13</v>
      </c>
      <c r="N4">
        <v>0.308</v>
      </c>
      <c r="O4">
        <v>0</v>
      </c>
      <c r="P4">
        <v>4</v>
      </c>
      <c r="Q4">
        <v>0</v>
      </c>
      <c r="R4">
        <v>6</v>
      </c>
      <c r="S4">
        <v>7</v>
      </c>
      <c r="T4">
        <v>0.85699999999999998</v>
      </c>
      <c r="U4">
        <v>3</v>
      </c>
      <c r="V4">
        <v>2</v>
      </c>
      <c r="W4">
        <v>5</v>
      </c>
      <c r="X4">
        <v>2</v>
      </c>
      <c r="Y4">
        <v>0</v>
      </c>
      <c r="Z4">
        <v>1</v>
      </c>
      <c r="AA4">
        <v>3</v>
      </c>
      <c r="AB4">
        <v>5</v>
      </c>
      <c r="AC4">
        <v>14</v>
      </c>
      <c r="AD4">
        <v>5.9</v>
      </c>
      <c r="AE4">
        <v>-3</v>
      </c>
      <c r="AF4" t="s">
        <v>4</v>
      </c>
    </row>
    <row r="5" spans="1:32" x14ac:dyDescent="0.2">
      <c r="A5">
        <v>4</v>
      </c>
      <c r="B5">
        <v>4</v>
      </c>
      <c r="C5" s="1">
        <v>44495</v>
      </c>
      <c r="D5" t="s">
        <v>243</v>
      </c>
      <c r="E5" t="s">
        <v>70</v>
      </c>
      <c r="F5" t="s">
        <v>3</v>
      </c>
      <c r="G5" t="s">
        <v>32</v>
      </c>
      <c r="H5" t="s">
        <v>0</v>
      </c>
      <c r="I5" t="s">
        <v>244</v>
      </c>
      <c r="J5">
        <v>1</v>
      </c>
      <c r="K5" t="s">
        <v>194</v>
      </c>
      <c r="L5">
        <v>3</v>
      </c>
      <c r="M5">
        <v>9</v>
      </c>
      <c r="N5">
        <v>0.33300000000000002</v>
      </c>
      <c r="O5">
        <v>0</v>
      </c>
      <c r="P5">
        <v>3</v>
      </c>
      <c r="Q5">
        <v>0</v>
      </c>
      <c r="R5">
        <v>1</v>
      </c>
      <c r="S5">
        <v>1</v>
      </c>
      <c r="T5">
        <v>1</v>
      </c>
      <c r="U5">
        <v>0</v>
      </c>
      <c r="V5">
        <v>2</v>
      </c>
      <c r="W5">
        <v>2</v>
      </c>
      <c r="X5">
        <v>3</v>
      </c>
      <c r="Y5">
        <v>1</v>
      </c>
      <c r="Z5">
        <v>0</v>
      </c>
      <c r="AA5">
        <v>2</v>
      </c>
      <c r="AB5">
        <v>2</v>
      </c>
      <c r="AC5">
        <v>7</v>
      </c>
      <c r="AD5">
        <v>2.8</v>
      </c>
      <c r="AE5">
        <v>-9</v>
      </c>
      <c r="AF5" t="s">
        <v>12</v>
      </c>
    </row>
    <row r="6" spans="1:32" x14ac:dyDescent="0.2">
      <c r="A6">
        <v>5</v>
      </c>
      <c r="B6">
        <v>5</v>
      </c>
      <c r="C6" s="1">
        <v>44497</v>
      </c>
      <c r="D6" t="s">
        <v>241</v>
      </c>
      <c r="E6" t="s">
        <v>70</v>
      </c>
      <c r="F6" t="s">
        <v>2</v>
      </c>
      <c r="G6" t="s">
        <v>21</v>
      </c>
      <c r="H6" t="s">
        <v>0</v>
      </c>
      <c r="I6" t="s">
        <v>181</v>
      </c>
      <c r="J6">
        <v>1</v>
      </c>
      <c r="K6" t="s">
        <v>242</v>
      </c>
      <c r="L6">
        <v>6</v>
      </c>
      <c r="M6">
        <v>8</v>
      </c>
      <c r="N6">
        <v>0.75</v>
      </c>
      <c r="O6">
        <v>2</v>
      </c>
      <c r="P6">
        <v>2</v>
      </c>
      <c r="Q6">
        <v>1</v>
      </c>
      <c r="R6">
        <v>2</v>
      </c>
      <c r="S6">
        <v>2</v>
      </c>
      <c r="T6">
        <v>1</v>
      </c>
      <c r="U6">
        <v>0</v>
      </c>
      <c r="V6">
        <v>6</v>
      </c>
      <c r="W6">
        <v>6</v>
      </c>
      <c r="X6">
        <v>6</v>
      </c>
      <c r="Y6">
        <v>0</v>
      </c>
      <c r="Z6">
        <v>2</v>
      </c>
      <c r="AA6">
        <v>4</v>
      </c>
      <c r="AB6">
        <v>2</v>
      </c>
      <c r="AC6">
        <v>16</v>
      </c>
      <c r="AD6">
        <v>15.4</v>
      </c>
      <c r="AE6">
        <v>19</v>
      </c>
      <c r="AF6" t="s">
        <v>4</v>
      </c>
    </row>
    <row r="7" spans="1:32" x14ac:dyDescent="0.2">
      <c r="A7">
        <v>6</v>
      </c>
      <c r="B7">
        <v>6</v>
      </c>
      <c r="C7" s="1">
        <v>44499</v>
      </c>
      <c r="D7" t="s">
        <v>238</v>
      </c>
      <c r="E7" t="s">
        <v>70</v>
      </c>
      <c r="F7" t="s">
        <v>2</v>
      </c>
      <c r="G7" t="s">
        <v>13</v>
      </c>
      <c r="H7" t="s">
        <v>0</v>
      </c>
      <c r="I7" t="s">
        <v>239</v>
      </c>
      <c r="J7">
        <v>1</v>
      </c>
      <c r="K7" t="s">
        <v>240</v>
      </c>
      <c r="L7">
        <v>6</v>
      </c>
      <c r="M7">
        <v>8</v>
      </c>
      <c r="N7">
        <v>0.75</v>
      </c>
      <c r="O7">
        <v>1</v>
      </c>
      <c r="P7">
        <v>2</v>
      </c>
      <c r="Q7">
        <v>0.5</v>
      </c>
      <c r="R7">
        <v>3</v>
      </c>
      <c r="S7">
        <v>3</v>
      </c>
      <c r="T7">
        <v>1</v>
      </c>
      <c r="U7">
        <v>0</v>
      </c>
      <c r="V7">
        <v>0</v>
      </c>
      <c r="W7">
        <v>0</v>
      </c>
      <c r="X7">
        <v>3</v>
      </c>
      <c r="Y7">
        <v>1</v>
      </c>
      <c r="Z7">
        <v>1</v>
      </c>
      <c r="AA7">
        <v>2</v>
      </c>
      <c r="AB7">
        <v>3</v>
      </c>
      <c r="AC7">
        <v>16</v>
      </c>
      <c r="AD7">
        <v>13.4</v>
      </c>
      <c r="AE7">
        <v>14</v>
      </c>
      <c r="AF7" t="s">
        <v>4</v>
      </c>
    </row>
    <row r="8" spans="1:32" x14ac:dyDescent="0.2">
      <c r="A8">
        <v>7</v>
      </c>
      <c r="B8">
        <v>7</v>
      </c>
      <c r="C8" s="1">
        <v>44501</v>
      </c>
      <c r="D8" t="s">
        <v>236</v>
      </c>
      <c r="E8" t="s">
        <v>70</v>
      </c>
      <c r="F8" t="s">
        <v>2</v>
      </c>
      <c r="G8" t="s">
        <v>36</v>
      </c>
      <c r="H8" t="s">
        <v>0</v>
      </c>
      <c r="I8" t="s">
        <v>101</v>
      </c>
      <c r="J8">
        <v>1</v>
      </c>
      <c r="K8" t="s">
        <v>237</v>
      </c>
      <c r="L8">
        <v>4</v>
      </c>
      <c r="M8">
        <v>8</v>
      </c>
      <c r="N8">
        <v>0.5</v>
      </c>
      <c r="O8">
        <v>0</v>
      </c>
      <c r="P8">
        <v>0</v>
      </c>
      <c r="R8">
        <v>2</v>
      </c>
      <c r="S8">
        <v>3</v>
      </c>
      <c r="T8">
        <v>0.66700000000000004</v>
      </c>
      <c r="U8">
        <v>0</v>
      </c>
      <c r="V8">
        <v>1</v>
      </c>
      <c r="W8">
        <v>1</v>
      </c>
      <c r="X8">
        <v>7</v>
      </c>
      <c r="Y8">
        <v>1</v>
      </c>
      <c r="Z8">
        <v>0</v>
      </c>
      <c r="AA8">
        <v>3</v>
      </c>
      <c r="AB8">
        <v>1</v>
      </c>
      <c r="AC8">
        <v>10</v>
      </c>
      <c r="AD8">
        <v>8.4</v>
      </c>
      <c r="AE8">
        <v>11</v>
      </c>
      <c r="AF8" t="s">
        <v>4</v>
      </c>
    </row>
    <row r="9" spans="1:32" x14ac:dyDescent="0.2">
      <c r="A9">
        <v>8</v>
      </c>
      <c r="B9">
        <v>8</v>
      </c>
      <c r="C9" s="1">
        <v>44503</v>
      </c>
      <c r="D9" t="s">
        <v>234</v>
      </c>
      <c r="E9" t="s">
        <v>70</v>
      </c>
      <c r="F9" t="s">
        <v>2</v>
      </c>
      <c r="G9" t="s">
        <v>16</v>
      </c>
      <c r="H9" t="s">
        <v>1</v>
      </c>
      <c r="I9" t="s">
        <v>92</v>
      </c>
      <c r="J9">
        <v>1</v>
      </c>
      <c r="K9" t="s">
        <v>235</v>
      </c>
      <c r="L9">
        <v>5</v>
      </c>
      <c r="M9">
        <v>10</v>
      </c>
      <c r="N9">
        <v>0.5</v>
      </c>
      <c r="O9">
        <v>0</v>
      </c>
      <c r="P9">
        <v>0</v>
      </c>
      <c r="R9">
        <v>4</v>
      </c>
      <c r="S9">
        <v>6</v>
      </c>
      <c r="T9">
        <v>0.66700000000000004</v>
      </c>
      <c r="U9">
        <v>0</v>
      </c>
      <c r="V9">
        <v>1</v>
      </c>
      <c r="W9">
        <v>1</v>
      </c>
      <c r="X9">
        <v>6</v>
      </c>
      <c r="Y9">
        <v>0</v>
      </c>
      <c r="Z9">
        <v>0</v>
      </c>
      <c r="AA9">
        <v>0</v>
      </c>
      <c r="AB9">
        <v>2</v>
      </c>
      <c r="AC9">
        <v>14</v>
      </c>
      <c r="AD9">
        <v>11.9</v>
      </c>
      <c r="AE9">
        <v>4</v>
      </c>
      <c r="AF9" t="s">
        <v>4</v>
      </c>
    </row>
    <row r="10" spans="1:32" x14ac:dyDescent="0.2">
      <c r="A10">
        <v>9</v>
      </c>
      <c r="B10">
        <v>9</v>
      </c>
      <c r="C10" s="1">
        <v>44504</v>
      </c>
      <c r="D10" t="s">
        <v>232</v>
      </c>
      <c r="E10" t="s">
        <v>70</v>
      </c>
      <c r="F10" t="s">
        <v>3</v>
      </c>
      <c r="G10" t="s">
        <v>21</v>
      </c>
      <c r="H10" t="s">
        <v>0</v>
      </c>
      <c r="I10" t="s">
        <v>145</v>
      </c>
      <c r="J10">
        <v>1</v>
      </c>
      <c r="K10" t="s">
        <v>233</v>
      </c>
      <c r="L10">
        <v>8</v>
      </c>
      <c r="M10">
        <v>12</v>
      </c>
      <c r="N10">
        <v>0.66700000000000004</v>
      </c>
      <c r="O10">
        <v>2</v>
      </c>
      <c r="P10">
        <v>4</v>
      </c>
      <c r="Q10">
        <v>0.5</v>
      </c>
      <c r="R10">
        <v>2</v>
      </c>
      <c r="S10">
        <v>2</v>
      </c>
      <c r="T10">
        <v>1</v>
      </c>
      <c r="U10">
        <v>0</v>
      </c>
      <c r="V10">
        <v>4</v>
      </c>
      <c r="W10">
        <v>4</v>
      </c>
      <c r="X10">
        <v>5</v>
      </c>
      <c r="Y10">
        <v>2</v>
      </c>
      <c r="Z10">
        <v>0</v>
      </c>
      <c r="AA10">
        <v>1</v>
      </c>
      <c r="AB10">
        <v>2</v>
      </c>
      <c r="AC10">
        <v>20</v>
      </c>
      <c r="AD10">
        <v>19.7</v>
      </c>
      <c r="AE10">
        <v>3</v>
      </c>
      <c r="AF10" t="s">
        <v>4</v>
      </c>
    </row>
    <row r="11" spans="1:32" x14ac:dyDescent="0.2">
      <c r="A11">
        <v>10</v>
      </c>
      <c r="B11">
        <v>10</v>
      </c>
      <c r="C11" s="1">
        <v>44506</v>
      </c>
      <c r="D11" t="s">
        <v>230</v>
      </c>
      <c r="E11" t="s">
        <v>70</v>
      </c>
      <c r="F11" t="s">
        <v>3</v>
      </c>
      <c r="G11" t="s">
        <v>16</v>
      </c>
      <c r="H11" t="s">
        <v>1</v>
      </c>
      <c r="I11" t="s">
        <v>71</v>
      </c>
      <c r="J11">
        <v>1</v>
      </c>
      <c r="K11" t="s">
        <v>231</v>
      </c>
      <c r="L11">
        <v>5</v>
      </c>
      <c r="M11">
        <v>9</v>
      </c>
      <c r="N11">
        <v>0.55600000000000005</v>
      </c>
      <c r="O11">
        <v>0</v>
      </c>
      <c r="P11">
        <v>1</v>
      </c>
      <c r="Q11">
        <v>0</v>
      </c>
      <c r="R11">
        <v>0</v>
      </c>
      <c r="S11">
        <v>0</v>
      </c>
      <c r="U11">
        <v>0</v>
      </c>
      <c r="V11">
        <v>3</v>
      </c>
      <c r="W11">
        <v>3</v>
      </c>
      <c r="X11">
        <v>8</v>
      </c>
      <c r="Y11">
        <v>1</v>
      </c>
      <c r="Z11">
        <v>1</v>
      </c>
      <c r="AA11">
        <v>1</v>
      </c>
      <c r="AB11">
        <v>1</v>
      </c>
      <c r="AC11">
        <v>10</v>
      </c>
      <c r="AD11">
        <v>12.5</v>
      </c>
      <c r="AE11">
        <v>3</v>
      </c>
      <c r="AF11" t="s">
        <v>4</v>
      </c>
    </row>
    <row r="12" spans="1:32" x14ac:dyDescent="0.2">
      <c r="A12">
        <v>11</v>
      </c>
      <c r="B12">
        <v>11</v>
      </c>
      <c r="C12" s="1">
        <v>44508</v>
      </c>
      <c r="D12" t="s">
        <v>228</v>
      </c>
      <c r="E12" t="s">
        <v>70</v>
      </c>
      <c r="F12" t="s">
        <v>2</v>
      </c>
      <c r="G12" t="s">
        <v>32</v>
      </c>
      <c r="H12" t="s">
        <v>0</v>
      </c>
      <c r="I12" t="s">
        <v>214</v>
      </c>
      <c r="J12">
        <v>1</v>
      </c>
      <c r="K12" t="s">
        <v>229</v>
      </c>
      <c r="L12">
        <v>6</v>
      </c>
      <c r="M12">
        <v>19</v>
      </c>
      <c r="N12">
        <v>0.316</v>
      </c>
      <c r="O12">
        <v>3</v>
      </c>
      <c r="P12">
        <v>6</v>
      </c>
      <c r="Q12">
        <v>0.5</v>
      </c>
      <c r="R12">
        <v>1</v>
      </c>
      <c r="S12">
        <v>2</v>
      </c>
      <c r="T12">
        <v>0.5</v>
      </c>
      <c r="U12">
        <v>1</v>
      </c>
      <c r="V12">
        <v>8</v>
      </c>
      <c r="W12">
        <v>9</v>
      </c>
      <c r="X12">
        <v>5</v>
      </c>
      <c r="Y12">
        <v>2</v>
      </c>
      <c r="Z12">
        <v>1</v>
      </c>
      <c r="AA12">
        <v>0</v>
      </c>
      <c r="AB12">
        <v>3</v>
      </c>
      <c r="AC12">
        <v>16</v>
      </c>
      <c r="AD12">
        <v>12.8</v>
      </c>
      <c r="AE12">
        <v>5</v>
      </c>
      <c r="AF12" t="s">
        <v>12</v>
      </c>
    </row>
    <row r="13" spans="1:32" x14ac:dyDescent="0.2">
      <c r="A13">
        <v>12</v>
      </c>
      <c r="B13">
        <v>12</v>
      </c>
      <c r="C13" s="1">
        <v>44509</v>
      </c>
      <c r="D13" t="s">
        <v>226</v>
      </c>
      <c r="E13" t="s">
        <v>70</v>
      </c>
      <c r="F13" t="s">
        <v>2</v>
      </c>
      <c r="G13" t="s">
        <v>29</v>
      </c>
      <c r="H13" t="s">
        <v>1</v>
      </c>
      <c r="I13" t="s">
        <v>148</v>
      </c>
      <c r="J13">
        <v>1</v>
      </c>
      <c r="K13" t="s">
        <v>227</v>
      </c>
      <c r="L13">
        <v>12</v>
      </c>
      <c r="M13">
        <v>24</v>
      </c>
      <c r="N13">
        <v>0.5</v>
      </c>
      <c r="O13">
        <v>4</v>
      </c>
      <c r="P13">
        <v>9</v>
      </c>
      <c r="Q13">
        <v>0.44400000000000001</v>
      </c>
      <c r="R13">
        <v>3</v>
      </c>
      <c r="S13">
        <v>3</v>
      </c>
      <c r="T13">
        <v>1</v>
      </c>
      <c r="U13">
        <v>1</v>
      </c>
      <c r="V13">
        <v>4</v>
      </c>
      <c r="W13">
        <v>5</v>
      </c>
      <c r="X13">
        <v>4</v>
      </c>
      <c r="Y13">
        <v>1</v>
      </c>
      <c r="Z13">
        <v>1</v>
      </c>
      <c r="AA13">
        <v>0</v>
      </c>
      <c r="AB13">
        <v>2</v>
      </c>
      <c r="AC13">
        <v>31</v>
      </c>
      <c r="AD13">
        <v>24.6</v>
      </c>
      <c r="AE13">
        <v>-8</v>
      </c>
      <c r="AF13" t="s">
        <v>12</v>
      </c>
    </row>
    <row r="14" spans="1:32" x14ac:dyDescent="0.2">
      <c r="A14">
        <v>13</v>
      </c>
      <c r="B14">
        <v>13</v>
      </c>
      <c r="C14" s="1">
        <v>44511</v>
      </c>
      <c r="D14" t="s">
        <v>223</v>
      </c>
      <c r="E14" t="s">
        <v>70</v>
      </c>
      <c r="F14" t="s">
        <v>2</v>
      </c>
      <c r="G14" t="s">
        <v>39</v>
      </c>
      <c r="H14" t="s">
        <v>0</v>
      </c>
      <c r="I14" t="s">
        <v>224</v>
      </c>
      <c r="J14">
        <v>1</v>
      </c>
      <c r="K14" t="s">
        <v>225</v>
      </c>
      <c r="L14">
        <v>12</v>
      </c>
      <c r="M14">
        <v>19</v>
      </c>
      <c r="N14">
        <v>0.63200000000000001</v>
      </c>
      <c r="O14">
        <v>1</v>
      </c>
      <c r="P14">
        <v>3</v>
      </c>
      <c r="Q14">
        <v>0.33300000000000002</v>
      </c>
      <c r="R14">
        <v>8</v>
      </c>
      <c r="S14">
        <v>8</v>
      </c>
      <c r="T14">
        <v>1</v>
      </c>
      <c r="U14">
        <v>0</v>
      </c>
      <c r="V14">
        <v>4</v>
      </c>
      <c r="W14">
        <v>4</v>
      </c>
      <c r="X14">
        <v>5</v>
      </c>
      <c r="Y14">
        <v>1</v>
      </c>
      <c r="Z14">
        <v>2</v>
      </c>
      <c r="AA14">
        <v>2</v>
      </c>
      <c r="AB14">
        <v>2</v>
      </c>
      <c r="AC14">
        <v>33</v>
      </c>
      <c r="AD14">
        <v>28.8</v>
      </c>
      <c r="AE14">
        <v>-9</v>
      </c>
      <c r="AF14" t="s">
        <v>12</v>
      </c>
    </row>
    <row r="15" spans="1:32" x14ac:dyDescent="0.2">
      <c r="A15">
        <v>14</v>
      </c>
      <c r="B15">
        <v>14</v>
      </c>
      <c r="C15" s="1">
        <v>44513</v>
      </c>
      <c r="D15" t="s">
        <v>221</v>
      </c>
      <c r="E15" t="s">
        <v>70</v>
      </c>
      <c r="F15" t="s">
        <v>3</v>
      </c>
      <c r="G15" t="s">
        <v>24</v>
      </c>
      <c r="H15" t="s">
        <v>0</v>
      </c>
      <c r="I15" t="s">
        <v>98</v>
      </c>
      <c r="J15">
        <v>1</v>
      </c>
      <c r="K15" t="s">
        <v>222</v>
      </c>
      <c r="L15">
        <v>10</v>
      </c>
      <c r="M15">
        <v>15</v>
      </c>
      <c r="N15">
        <v>0.66700000000000004</v>
      </c>
      <c r="O15">
        <v>3</v>
      </c>
      <c r="P15">
        <v>4</v>
      </c>
      <c r="Q15">
        <v>0.75</v>
      </c>
      <c r="R15">
        <v>1</v>
      </c>
      <c r="S15">
        <v>1</v>
      </c>
      <c r="T15">
        <v>1</v>
      </c>
      <c r="U15">
        <v>1</v>
      </c>
      <c r="V15">
        <v>1</v>
      </c>
      <c r="W15">
        <v>2</v>
      </c>
      <c r="X15">
        <v>3</v>
      </c>
      <c r="Y15">
        <v>0</v>
      </c>
      <c r="Z15">
        <v>0</v>
      </c>
      <c r="AA15">
        <v>1</v>
      </c>
      <c r="AB15">
        <v>5</v>
      </c>
      <c r="AC15">
        <v>24</v>
      </c>
      <c r="AD15">
        <v>17.600000000000001</v>
      </c>
      <c r="AE15">
        <v>-4</v>
      </c>
      <c r="AF15" t="s">
        <v>12</v>
      </c>
    </row>
    <row r="16" spans="1:32" x14ac:dyDescent="0.2">
      <c r="A16">
        <v>15</v>
      </c>
      <c r="B16">
        <v>15</v>
      </c>
      <c r="C16" s="1">
        <v>44516</v>
      </c>
      <c r="D16" t="s">
        <v>219</v>
      </c>
      <c r="E16" t="s">
        <v>70</v>
      </c>
      <c r="F16" t="s">
        <v>3</v>
      </c>
      <c r="G16" t="s">
        <v>40</v>
      </c>
      <c r="H16" t="s">
        <v>1</v>
      </c>
      <c r="I16" t="s">
        <v>193</v>
      </c>
      <c r="J16">
        <v>1</v>
      </c>
      <c r="K16" t="s">
        <v>220</v>
      </c>
      <c r="L16">
        <v>7</v>
      </c>
      <c r="M16">
        <v>14</v>
      </c>
      <c r="N16">
        <v>0.5</v>
      </c>
      <c r="O16">
        <v>2</v>
      </c>
      <c r="P16">
        <v>4</v>
      </c>
      <c r="Q16">
        <v>0.5</v>
      </c>
      <c r="R16">
        <v>0</v>
      </c>
      <c r="S16">
        <v>0</v>
      </c>
      <c r="U16">
        <v>0</v>
      </c>
      <c r="V16">
        <v>4</v>
      </c>
      <c r="W16">
        <v>4</v>
      </c>
      <c r="X16">
        <v>2</v>
      </c>
      <c r="Y16">
        <v>0</v>
      </c>
      <c r="Z16">
        <v>0</v>
      </c>
      <c r="AA16">
        <v>1</v>
      </c>
      <c r="AB16">
        <v>1</v>
      </c>
      <c r="AC16">
        <v>16</v>
      </c>
      <c r="AD16">
        <v>10.199999999999999</v>
      </c>
      <c r="AE16">
        <v>-13</v>
      </c>
      <c r="AF16" t="s">
        <v>12</v>
      </c>
    </row>
    <row r="17" spans="1:32" x14ac:dyDescent="0.2">
      <c r="A17">
        <v>16</v>
      </c>
      <c r="B17">
        <v>16</v>
      </c>
      <c r="C17" s="1">
        <v>44518</v>
      </c>
      <c r="D17" t="s">
        <v>216</v>
      </c>
      <c r="E17" t="s">
        <v>70</v>
      </c>
      <c r="F17" t="s">
        <v>3</v>
      </c>
      <c r="G17" t="s">
        <v>20</v>
      </c>
      <c r="H17" t="s">
        <v>0</v>
      </c>
      <c r="I17" t="s">
        <v>217</v>
      </c>
      <c r="J17">
        <v>1</v>
      </c>
      <c r="K17" t="s">
        <v>218</v>
      </c>
      <c r="L17">
        <v>9</v>
      </c>
      <c r="M17">
        <v>15</v>
      </c>
      <c r="N17">
        <v>0.6</v>
      </c>
      <c r="O17">
        <v>2</v>
      </c>
      <c r="P17">
        <v>3</v>
      </c>
      <c r="Q17">
        <v>0.66700000000000004</v>
      </c>
      <c r="R17">
        <v>2</v>
      </c>
      <c r="S17">
        <v>4</v>
      </c>
      <c r="T17">
        <v>0.5</v>
      </c>
      <c r="U17">
        <v>0</v>
      </c>
      <c r="V17">
        <v>5</v>
      </c>
      <c r="W17">
        <v>5</v>
      </c>
      <c r="X17">
        <v>4</v>
      </c>
      <c r="Y17">
        <v>1</v>
      </c>
      <c r="Z17">
        <v>1</v>
      </c>
      <c r="AA17">
        <v>0</v>
      </c>
      <c r="AB17">
        <v>0</v>
      </c>
      <c r="AC17">
        <v>22</v>
      </c>
      <c r="AD17">
        <v>20.3</v>
      </c>
      <c r="AE17">
        <v>2</v>
      </c>
      <c r="AF17" t="s">
        <v>4</v>
      </c>
    </row>
    <row r="18" spans="1:32" x14ac:dyDescent="0.2">
      <c r="A18">
        <v>17</v>
      </c>
      <c r="B18">
        <v>17</v>
      </c>
      <c r="C18" s="1">
        <v>44520</v>
      </c>
      <c r="D18" t="s">
        <v>213</v>
      </c>
      <c r="E18" t="s">
        <v>70</v>
      </c>
      <c r="F18" t="s">
        <v>3</v>
      </c>
      <c r="G18" t="s">
        <v>36</v>
      </c>
      <c r="H18" t="s">
        <v>0</v>
      </c>
      <c r="I18" t="s">
        <v>214</v>
      </c>
      <c r="J18">
        <v>1</v>
      </c>
      <c r="K18" t="s">
        <v>215</v>
      </c>
      <c r="L18">
        <v>9</v>
      </c>
      <c r="M18">
        <v>17</v>
      </c>
      <c r="N18">
        <v>0.52900000000000003</v>
      </c>
      <c r="O18">
        <v>1</v>
      </c>
      <c r="P18">
        <v>4</v>
      </c>
      <c r="Q18">
        <v>0.25</v>
      </c>
      <c r="R18">
        <v>9</v>
      </c>
      <c r="S18">
        <v>9</v>
      </c>
      <c r="T18">
        <v>1</v>
      </c>
      <c r="U18">
        <v>0</v>
      </c>
      <c r="V18">
        <v>3</v>
      </c>
      <c r="W18">
        <v>3</v>
      </c>
      <c r="X18">
        <v>9</v>
      </c>
      <c r="Y18">
        <v>2</v>
      </c>
      <c r="Z18">
        <v>0</v>
      </c>
      <c r="AA18">
        <v>0</v>
      </c>
      <c r="AB18">
        <v>3</v>
      </c>
      <c r="AC18">
        <v>28</v>
      </c>
      <c r="AD18">
        <v>27.7</v>
      </c>
      <c r="AE18">
        <v>-4</v>
      </c>
      <c r="AF18" t="s">
        <v>12</v>
      </c>
    </row>
    <row r="19" spans="1:32" x14ac:dyDescent="0.2">
      <c r="A19">
        <v>18</v>
      </c>
      <c r="B19">
        <v>18</v>
      </c>
      <c r="C19" s="1">
        <v>44522</v>
      </c>
      <c r="D19" t="s">
        <v>212</v>
      </c>
      <c r="E19" t="s">
        <v>70</v>
      </c>
      <c r="F19" t="s">
        <v>3</v>
      </c>
      <c r="G19" t="s">
        <v>37</v>
      </c>
      <c r="H19" t="s">
        <v>0</v>
      </c>
      <c r="I19" t="s">
        <v>181</v>
      </c>
      <c r="J19">
        <v>1</v>
      </c>
      <c r="K19" t="s">
        <v>168</v>
      </c>
      <c r="L19">
        <v>8</v>
      </c>
      <c r="M19">
        <v>22</v>
      </c>
      <c r="N19">
        <v>0.36399999999999999</v>
      </c>
      <c r="O19">
        <v>0</v>
      </c>
      <c r="P19">
        <v>4</v>
      </c>
      <c r="Q19">
        <v>0</v>
      </c>
      <c r="R19">
        <v>8</v>
      </c>
      <c r="S19">
        <v>8</v>
      </c>
      <c r="T19">
        <v>1</v>
      </c>
      <c r="U19">
        <v>0</v>
      </c>
      <c r="V19">
        <v>1</v>
      </c>
      <c r="W19">
        <v>1</v>
      </c>
      <c r="X19">
        <v>4</v>
      </c>
      <c r="Y19">
        <v>2</v>
      </c>
      <c r="Z19">
        <v>0</v>
      </c>
      <c r="AA19">
        <v>0</v>
      </c>
      <c r="AB19">
        <v>3</v>
      </c>
      <c r="AC19">
        <v>24</v>
      </c>
      <c r="AD19">
        <v>15.7</v>
      </c>
      <c r="AE19">
        <v>7</v>
      </c>
      <c r="AF19" t="s">
        <v>4</v>
      </c>
    </row>
    <row r="20" spans="1:32" x14ac:dyDescent="0.2">
      <c r="A20">
        <v>19</v>
      </c>
      <c r="B20">
        <v>19</v>
      </c>
      <c r="C20" s="1">
        <v>44524</v>
      </c>
      <c r="D20" t="s">
        <v>210</v>
      </c>
      <c r="E20" t="s">
        <v>70</v>
      </c>
      <c r="F20" t="s">
        <v>3</v>
      </c>
      <c r="G20" t="s">
        <v>22</v>
      </c>
      <c r="H20" t="s">
        <v>1</v>
      </c>
      <c r="I20" t="s">
        <v>211</v>
      </c>
      <c r="J20">
        <v>1</v>
      </c>
      <c r="K20" t="s">
        <v>78</v>
      </c>
      <c r="L20">
        <v>5</v>
      </c>
      <c r="M20">
        <v>15</v>
      </c>
      <c r="N20">
        <v>0.33300000000000002</v>
      </c>
      <c r="O20">
        <v>0</v>
      </c>
      <c r="P20">
        <v>1</v>
      </c>
      <c r="Q20">
        <v>0</v>
      </c>
      <c r="R20">
        <v>9</v>
      </c>
      <c r="S20">
        <v>10</v>
      </c>
      <c r="T20">
        <v>0.9</v>
      </c>
      <c r="U20">
        <v>0</v>
      </c>
      <c r="V20">
        <v>3</v>
      </c>
      <c r="W20">
        <v>3</v>
      </c>
      <c r="X20">
        <v>5</v>
      </c>
      <c r="Y20">
        <v>0</v>
      </c>
      <c r="Z20">
        <v>1</v>
      </c>
      <c r="AA20">
        <v>2</v>
      </c>
      <c r="AB20">
        <v>2</v>
      </c>
      <c r="AC20">
        <v>19</v>
      </c>
      <c r="AD20">
        <v>12.4</v>
      </c>
      <c r="AE20">
        <v>-9</v>
      </c>
      <c r="AF20" t="s">
        <v>12</v>
      </c>
    </row>
    <row r="21" spans="1:32" x14ac:dyDescent="0.2">
      <c r="A21">
        <v>20</v>
      </c>
      <c r="B21">
        <v>20</v>
      </c>
      <c r="C21" s="1">
        <v>44527</v>
      </c>
      <c r="D21" t="s">
        <v>208</v>
      </c>
      <c r="E21" t="s">
        <v>70</v>
      </c>
      <c r="F21" t="s">
        <v>2</v>
      </c>
      <c r="G21" t="s">
        <v>30</v>
      </c>
      <c r="H21" t="s">
        <v>0</v>
      </c>
      <c r="I21" t="s">
        <v>165</v>
      </c>
      <c r="J21">
        <v>1</v>
      </c>
      <c r="K21" t="s">
        <v>209</v>
      </c>
      <c r="L21">
        <v>5</v>
      </c>
      <c r="M21">
        <v>15</v>
      </c>
      <c r="N21">
        <v>0.33300000000000002</v>
      </c>
      <c r="O21">
        <v>1</v>
      </c>
      <c r="P21">
        <v>3</v>
      </c>
      <c r="Q21">
        <v>0.33300000000000002</v>
      </c>
      <c r="R21">
        <v>4</v>
      </c>
      <c r="S21">
        <v>5</v>
      </c>
      <c r="T21">
        <v>0.8</v>
      </c>
      <c r="U21">
        <v>0</v>
      </c>
      <c r="V21">
        <v>4</v>
      </c>
      <c r="W21">
        <v>4</v>
      </c>
      <c r="X21">
        <v>9</v>
      </c>
      <c r="Y21">
        <v>0</v>
      </c>
      <c r="Z21">
        <v>1</v>
      </c>
      <c r="AA21">
        <v>4</v>
      </c>
      <c r="AB21">
        <v>5</v>
      </c>
      <c r="AC21">
        <v>15</v>
      </c>
      <c r="AD21">
        <v>8.3000000000000007</v>
      </c>
      <c r="AE21">
        <v>7</v>
      </c>
      <c r="AF21" t="s">
        <v>12</v>
      </c>
    </row>
    <row r="22" spans="1:32" x14ac:dyDescent="0.2">
      <c r="A22">
        <v>21</v>
      </c>
      <c r="B22">
        <v>21</v>
      </c>
      <c r="C22" s="1">
        <v>44529</v>
      </c>
      <c r="D22" t="s">
        <v>206</v>
      </c>
      <c r="E22" t="s">
        <v>70</v>
      </c>
      <c r="F22" t="s">
        <v>2</v>
      </c>
      <c r="G22" t="s">
        <v>34</v>
      </c>
      <c r="H22" t="s">
        <v>0</v>
      </c>
      <c r="I22" t="s">
        <v>92</v>
      </c>
      <c r="J22">
        <v>1</v>
      </c>
      <c r="K22" t="s">
        <v>207</v>
      </c>
      <c r="L22">
        <v>2</v>
      </c>
      <c r="M22">
        <v>12</v>
      </c>
      <c r="N22">
        <v>0.16700000000000001</v>
      </c>
      <c r="O22">
        <v>1</v>
      </c>
      <c r="P22">
        <v>4</v>
      </c>
      <c r="Q22">
        <v>0.25</v>
      </c>
      <c r="R22">
        <v>4</v>
      </c>
      <c r="S22">
        <v>4</v>
      </c>
      <c r="T22">
        <v>1</v>
      </c>
      <c r="U22">
        <v>1</v>
      </c>
      <c r="V22">
        <v>7</v>
      </c>
      <c r="W22">
        <v>8</v>
      </c>
      <c r="X22">
        <v>9</v>
      </c>
      <c r="Y22">
        <v>0</v>
      </c>
      <c r="Z22">
        <v>1</v>
      </c>
      <c r="AA22">
        <v>0</v>
      </c>
      <c r="AB22">
        <v>3</v>
      </c>
      <c r="AC22">
        <v>9</v>
      </c>
      <c r="AD22">
        <v>10</v>
      </c>
      <c r="AE22">
        <v>0</v>
      </c>
      <c r="AF22" t="s">
        <v>4</v>
      </c>
    </row>
    <row r="23" spans="1:32" x14ac:dyDescent="0.2">
      <c r="A23">
        <v>22</v>
      </c>
      <c r="B23">
        <v>22</v>
      </c>
      <c r="C23" s="1">
        <v>44531</v>
      </c>
      <c r="D23" t="s">
        <v>204</v>
      </c>
      <c r="E23" t="s">
        <v>70</v>
      </c>
      <c r="F23" t="s">
        <v>3</v>
      </c>
      <c r="G23" t="s">
        <v>14</v>
      </c>
      <c r="H23" t="s">
        <v>0</v>
      </c>
      <c r="I23" t="s">
        <v>165</v>
      </c>
      <c r="J23">
        <v>1</v>
      </c>
      <c r="K23" t="s">
        <v>205</v>
      </c>
      <c r="L23">
        <v>3</v>
      </c>
      <c r="M23">
        <v>13</v>
      </c>
      <c r="N23">
        <v>0.23100000000000001</v>
      </c>
      <c r="O23">
        <v>0</v>
      </c>
      <c r="P23">
        <v>2</v>
      </c>
      <c r="Q23">
        <v>0</v>
      </c>
      <c r="R23">
        <v>0</v>
      </c>
      <c r="S23">
        <v>0</v>
      </c>
      <c r="U23">
        <v>1</v>
      </c>
      <c r="V23">
        <v>5</v>
      </c>
      <c r="W23">
        <v>6</v>
      </c>
      <c r="X23">
        <v>1</v>
      </c>
      <c r="Y23">
        <v>0</v>
      </c>
      <c r="Z23">
        <v>0</v>
      </c>
      <c r="AA23">
        <v>0</v>
      </c>
      <c r="AB23">
        <v>1</v>
      </c>
      <c r="AC23">
        <v>6</v>
      </c>
      <c r="AD23">
        <v>0.6</v>
      </c>
      <c r="AE23">
        <v>-9</v>
      </c>
      <c r="AF23" t="s">
        <v>12</v>
      </c>
    </row>
    <row r="24" spans="1:32" x14ac:dyDescent="0.2">
      <c r="A24">
        <v>23</v>
      </c>
      <c r="B24">
        <v>23</v>
      </c>
      <c r="C24" s="1">
        <v>44533</v>
      </c>
      <c r="D24" t="s">
        <v>202</v>
      </c>
      <c r="E24" t="s">
        <v>70</v>
      </c>
      <c r="F24" t="s">
        <v>3</v>
      </c>
      <c r="G24" t="s">
        <v>13</v>
      </c>
      <c r="H24" t="s">
        <v>0</v>
      </c>
      <c r="I24" t="s">
        <v>109</v>
      </c>
      <c r="J24">
        <v>1</v>
      </c>
      <c r="K24" t="s">
        <v>203</v>
      </c>
      <c r="L24">
        <v>4</v>
      </c>
      <c r="M24">
        <v>10</v>
      </c>
      <c r="N24">
        <v>0.4</v>
      </c>
      <c r="O24">
        <v>0</v>
      </c>
      <c r="P24">
        <v>1</v>
      </c>
      <c r="Q24">
        <v>0</v>
      </c>
      <c r="R24">
        <v>3</v>
      </c>
      <c r="S24">
        <v>3</v>
      </c>
      <c r="T24">
        <v>1</v>
      </c>
      <c r="U24">
        <v>1</v>
      </c>
      <c r="V24">
        <v>2</v>
      </c>
      <c r="W24">
        <v>3</v>
      </c>
      <c r="X24">
        <v>5</v>
      </c>
      <c r="Y24">
        <v>1</v>
      </c>
      <c r="Z24">
        <v>1</v>
      </c>
      <c r="AA24">
        <v>0</v>
      </c>
      <c r="AB24">
        <v>2</v>
      </c>
      <c r="AC24">
        <v>11</v>
      </c>
      <c r="AD24">
        <v>11.3</v>
      </c>
      <c r="AE24">
        <v>4</v>
      </c>
      <c r="AF24" t="s">
        <v>4</v>
      </c>
    </row>
    <row r="25" spans="1:32" x14ac:dyDescent="0.2">
      <c r="A25">
        <v>25</v>
      </c>
      <c r="B25">
        <v>24</v>
      </c>
      <c r="C25" s="1">
        <v>44538</v>
      </c>
      <c r="D25" t="s">
        <v>200</v>
      </c>
      <c r="E25" t="s">
        <v>70</v>
      </c>
      <c r="F25" t="s">
        <v>3</v>
      </c>
      <c r="G25" t="s">
        <v>17</v>
      </c>
      <c r="H25" t="s">
        <v>0</v>
      </c>
      <c r="I25" t="s">
        <v>74</v>
      </c>
      <c r="J25">
        <v>1</v>
      </c>
      <c r="K25" t="s">
        <v>201</v>
      </c>
      <c r="L25">
        <v>2</v>
      </c>
      <c r="M25">
        <v>5</v>
      </c>
      <c r="N25">
        <v>0.4</v>
      </c>
      <c r="O25">
        <v>1</v>
      </c>
      <c r="P25">
        <v>3</v>
      </c>
      <c r="Q25">
        <v>0.33300000000000002</v>
      </c>
      <c r="R25">
        <v>1</v>
      </c>
      <c r="S25">
        <v>1</v>
      </c>
      <c r="T25">
        <v>1</v>
      </c>
      <c r="U25">
        <v>0</v>
      </c>
      <c r="V25">
        <v>2</v>
      </c>
      <c r="W25">
        <v>2</v>
      </c>
      <c r="X25">
        <v>3</v>
      </c>
      <c r="Y25">
        <v>0</v>
      </c>
      <c r="Z25">
        <v>0</v>
      </c>
      <c r="AA25">
        <v>3</v>
      </c>
      <c r="AB25">
        <v>3</v>
      </c>
      <c r="AC25">
        <v>6</v>
      </c>
      <c r="AD25">
        <v>1.8</v>
      </c>
      <c r="AE25">
        <v>0</v>
      </c>
      <c r="AF25" t="s">
        <v>4</v>
      </c>
    </row>
    <row r="26" spans="1:32" x14ac:dyDescent="0.2">
      <c r="A26">
        <v>26</v>
      </c>
      <c r="B26">
        <v>25</v>
      </c>
      <c r="C26" s="1">
        <v>44539</v>
      </c>
      <c r="D26" t="s">
        <v>197</v>
      </c>
      <c r="E26" t="s">
        <v>70</v>
      </c>
      <c r="F26" t="s">
        <v>2</v>
      </c>
      <c r="G26" t="s">
        <v>40</v>
      </c>
      <c r="H26" t="s">
        <v>1</v>
      </c>
      <c r="I26" t="s">
        <v>198</v>
      </c>
      <c r="J26">
        <v>1</v>
      </c>
      <c r="K26" t="s">
        <v>199</v>
      </c>
      <c r="L26">
        <v>5</v>
      </c>
      <c r="M26">
        <v>10</v>
      </c>
      <c r="N26">
        <v>0.5</v>
      </c>
      <c r="O26">
        <v>0</v>
      </c>
      <c r="P26">
        <v>0</v>
      </c>
      <c r="R26">
        <v>1</v>
      </c>
      <c r="S26">
        <v>2</v>
      </c>
      <c r="T26">
        <v>0.5</v>
      </c>
      <c r="U26">
        <v>2</v>
      </c>
      <c r="V26">
        <v>1</v>
      </c>
      <c r="W26">
        <v>3</v>
      </c>
      <c r="X26">
        <v>2</v>
      </c>
      <c r="Y26">
        <v>2</v>
      </c>
      <c r="Z26">
        <v>0</v>
      </c>
      <c r="AA26">
        <v>1</v>
      </c>
      <c r="AB26">
        <v>1</v>
      </c>
      <c r="AC26">
        <v>11</v>
      </c>
      <c r="AD26">
        <v>9.3000000000000007</v>
      </c>
      <c r="AE26">
        <v>-16</v>
      </c>
      <c r="AF26" t="s">
        <v>12</v>
      </c>
    </row>
    <row r="27" spans="1:32" x14ac:dyDescent="0.2">
      <c r="A27">
        <v>27</v>
      </c>
      <c r="B27">
        <v>26</v>
      </c>
      <c r="C27" s="1">
        <v>44541</v>
      </c>
      <c r="D27" t="s">
        <v>195</v>
      </c>
      <c r="E27" t="s">
        <v>70</v>
      </c>
      <c r="F27" t="s">
        <v>2</v>
      </c>
      <c r="G27" t="s">
        <v>22</v>
      </c>
      <c r="H27" t="s">
        <v>1</v>
      </c>
      <c r="I27" t="s">
        <v>71</v>
      </c>
      <c r="J27">
        <v>1</v>
      </c>
      <c r="K27" t="s">
        <v>196</v>
      </c>
      <c r="L27">
        <v>5</v>
      </c>
      <c r="M27">
        <v>10</v>
      </c>
      <c r="N27">
        <v>0.5</v>
      </c>
      <c r="O27">
        <v>2</v>
      </c>
      <c r="P27">
        <v>4</v>
      </c>
      <c r="Q27">
        <v>0.5</v>
      </c>
      <c r="R27">
        <v>2</v>
      </c>
      <c r="S27">
        <v>4</v>
      </c>
      <c r="T27">
        <v>0.5</v>
      </c>
      <c r="U27">
        <v>0</v>
      </c>
      <c r="V27">
        <v>2</v>
      </c>
      <c r="W27">
        <v>2</v>
      </c>
      <c r="X27">
        <v>2</v>
      </c>
      <c r="Y27">
        <v>0</v>
      </c>
      <c r="Z27">
        <v>2</v>
      </c>
      <c r="AA27">
        <v>2</v>
      </c>
      <c r="AB27">
        <v>1</v>
      </c>
      <c r="AC27">
        <v>14</v>
      </c>
      <c r="AD27">
        <v>9.1999999999999993</v>
      </c>
      <c r="AE27">
        <v>-11</v>
      </c>
      <c r="AF27" t="s">
        <v>4</v>
      </c>
    </row>
    <row r="28" spans="1:32" x14ac:dyDescent="0.2">
      <c r="A28">
        <v>28</v>
      </c>
      <c r="B28">
        <v>27</v>
      </c>
      <c r="C28" s="1">
        <v>44543</v>
      </c>
      <c r="D28" t="s">
        <v>192</v>
      </c>
      <c r="E28" t="s">
        <v>70</v>
      </c>
      <c r="F28" t="s">
        <v>3</v>
      </c>
      <c r="G28" t="s">
        <v>27</v>
      </c>
      <c r="H28" t="s">
        <v>1</v>
      </c>
      <c r="I28" t="s">
        <v>193</v>
      </c>
      <c r="J28">
        <v>1</v>
      </c>
      <c r="K28" t="s">
        <v>194</v>
      </c>
      <c r="L28">
        <v>9</v>
      </c>
      <c r="M28">
        <v>17</v>
      </c>
      <c r="N28">
        <v>0.52900000000000003</v>
      </c>
      <c r="O28">
        <v>2</v>
      </c>
      <c r="P28">
        <v>5</v>
      </c>
      <c r="Q28">
        <v>0.4</v>
      </c>
      <c r="R28">
        <v>3</v>
      </c>
      <c r="S28">
        <v>3</v>
      </c>
      <c r="T28">
        <v>1</v>
      </c>
      <c r="U28">
        <v>0</v>
      </c>
      <c r="V28">
        <v>0</v>
      </c>
      <c r="W28">
        <v>0</v>
      </c>
      <c r="X28">
        <v>7</v>
      </c>
      <c r="Y28">
        <v>1</v>
      </c>
      <c r="Z28">
        <v>0</v>
      </c>
      <c r="AA28">
        <v>3</v>
      </c>
      <c r="AB28">
        <v>3</v>
      </c>
      <c r="AC28">
        <v>23</v>
      </c>
      <c r="AD28">
        <v>16.399999999999999</v>
      </c>
      <c r="AE28">
        <v>-23</v>
      </c>
      <c r="AF28" t="s">
        <v>12</v>
      </c>
    </row>
    <row r="29" spans="1:32" x14ac:dyDescent="0.2">
      <c r="A29">
        <v>29</v>
      </c>
      <c r="B29">
        <v>28</v>
      </c>
      <c r="C29" s="1">
        <v>44545</v>
      </c>
      <c r="D29" t="s">
        <v>190</v>
      </c>
      <c r="E29" t="s">
        <v>70</v>
      </c>
      <c r="F29" t="s">
        <v>2</v>
      </c>
      <c r="G29" t="s">
        <v>28</v>
      </c>
      <c r="H29" t="s">
        <v>1</v>
      </c>
      <c r="I29" t="s">
        <v>98</v>
      </c>
      <c r="J29">
        <v>1</v>
      </c>
      <c r="K29" t="s">
        <v>191</v>
      </c>
      <c r="L29">
        <v>11</v>
      </c>
      <c r="M29">
        <v>15</v>
      </c>
      <c r="N29">
        <v>0.73299999999999998</v>
      </c>
      <c r="O29">
        <v>2</v>
      </c>
      <c r="P29">
        <v>5</v>
      </c>
      <c r="Q29">
        <v>0.4</v>
      </c>
      <c r="R29">
        <v>3</v>
      </c>
      <c r="S29">
        <v>3</v>
      </c>
      <c r="T29">
        <v>1</v>
      </c>
      <c r="U29">
        <v>0</v>
      </c>
      <c r="V29">
        <v>3</v>
      </c>
      <c r="W29">
        <v>3</v>
      </c>
      <c r="X29">
        <v>5</v>
      </c>
      <c r="Y29">
        <v>0</v>
      </c>
      <c r="Z29">
        <v>1</v>
      </c>
      <c r="AA29">
        <v>2</v>
      </c>
      <c r="AB29">
        <v>3</v>
      </c>
      <c r="AC29">
        <v>27</v>
      </c>
      <c r="AD29">
        <v>22.8</v>
      </c>
      <c r="AE29">
        <v>1</v>
      </c>
      <c r="AF29" t="s">
        <v>12</v>
      </c>
    </row>
    <row r="30" spans="1:32" x14ac:dyDescent="0.2">
      <c r="A30">
        <v>32</v>
      </c>
      <c r="B30">
        <v>29</v>
      </c>
      <c r="C30" s="1">
        <v>44553</v>
      </c>
      <c r="D30" t="s">
        <v>188</v>
      </c>
      <c r="E30" t="s">
        <v>70</v>
      </c>
      <c r="F30" t="s">
        <v>2</v>
      </c>
      <c r="G30" t="s">
        <v>13</v>
      </c>
      <c r="H30" t="s">
        <v>0</v>
      </c>
      <c r="I30" t="s">
        <v>83</v>
      </c>
      <c r="J30">
        <v>0</v>
      </c>
      <c r="K30" t="s">
        <v>189</v>
      </c>
      <c r="L30">
        <v>7</v>
      </c>
      <c r="M30">
        <v>16</v>
      </c>
      <c r="N30">
        <v>0.438</v>
      </c>
      <c r="O30">
        <v>1</v>
      </c>
      <c r="P30">
        <v>5</v>
      </c>
      <c r="Q30">
        <v>0.2</v>
      </c>
      <c r="R30">
        <v>2</v>
      </c>
      <c r="S30">
        <v>3</v>
      </c>
      <c r="T30">
        <v>0.66700000000000004</v>
      </c>
      <c r="U30">
        <v>0</v>
      </c>
      <c r="V30">
        <v>1</v>
      </c>
      <c r="W30">
        <v>1</v>
      </c>
      <c r="X30">
        <v>3</v>
      </c>
      <c r="Y30">
        <v>2</v>
      </c>
      <c r="Z30">
        <v>1</v>
      </c>
      <c r="AA30">
        <v>1</v>
      </c>
      <c r="AB30">
        <v>1</v>
      </c>
      <c r="AC30">
        <v>17</v>
      </c>
      <c r="AD30">
        <v>11.9</v>
      </c>
      <c r="AE30">
        <v>9</v>
      </c>
      <c r="AF30" t="s">
        <v>12</v>
      </c>
    </row>
    <row r="31" spans="1:32" x14ac:dyDescent="0.2">
      <c r="A31">
        <v>33</v>
      </c>
      <c r="B31">
        <v>30</v>
      </c>
      <c r="C31" s="1">
        <v>44556</v>
      </c>
      <c r="D31" t="s">
        <v>185</v>
      </c>
      <c r="E31" t="s">
        <v>70</v>
      </c>
      <c r="F31" t="s">
        <v>3</v>
      </c>
      <c r="G31" t="s">
        <v>41</v>
      </c>
      <c r="H31" t="s">
        <v>0</v>
      </c>
      <c r="I31" t="s">
        <v>186</v>
      </c>
      <c r="J31">
        <v>1</v>
      </c>
      <c r="K31" t="s">
        <v>187</v>
      </c>
      <c r="L31">
        <v>5</v>
      </c>
      <c r="M31">
        <v>11</v>
      </c>
      <c r="N31">
        <v>0.45500000000000002</v>
      </c>
      <c r="O31">
        <v>1</v>
      </c>
      <c r="P31">
        <v>2</v>
      </c>
      <c r="Q31">
        <v>0.5</v>
      </c>
      <c r="R31">
        <v>2</v>
      </c>
      <c r="S31">
        <v>2</v>
      </c>
      <c r="T31">
        <v>1</v>
      </c>
      <c r="U31">
        <v>0</v>
      </c>
      <c r="V31">
        <v>3</v>
      </c>
      <c r="W31">
        <v>3</v>
      </c>
      <c r="X31">
        <v>4</v>
      </c>
      <c r="Y31">
        <v>0</v>
      </c>
      <c r="Z31">
        <v>0</v>
      </c>
      <c r="AA31">
        <v>0</v>
      </c>
      <c r="AB31">
        <v>1</v>
      </c>
      <c r="AC31">
        <v>13</v>
      </c>
      <c r="AD31">
        <v>10.6</v>
      </c>
      <c r="AE31">
        <v>31</v>
      </c>
      <c r="AF31" t="s">
        <v>4</v>
      </c>
    </row>
    <row r="32" spans="1:32" x14ac:dyDescent="0.2">
      <c r="A32">
        <v>34</v>
      </c>
      <c r="B32">
        <v>31</v>
      </c>
      <c r="C32" s="1">
        <v>44558</v>
      </c>
      <c r="D32" t="s">
        <v>183</v>
      </c>
      <c r="E32" t="s">
        <v>70</v>
      </c>
      <c r="F32" t="s">
        <v>3</v>
      </c>
      <c r="G32" t="s">
        <v>39</v>
      </c>
      <c r="H32" t="s">
        <v>0</v>
      </c>
      <c r="I32" t="s">
        <v>92</v>
      </c>
      <c r="J32">
        <v>1</v>
      </c>
      <c r="K32" t="s">
        <v>184</v>
      </c>
      <c r="L32">
        <v>2</v>
      </c>
      <c r="M32">
        <v>11</v>
      </c>
      <c r="N32">
        <v>0.182</v>
      </c>
      <c r="O32">
        <v>1</v>
      </c>
      <c r="P32">
        <v>4</v>
      </c>
      <c r="Q32">
        <v>0.25</v>
      </c>
      <c r="R32">
        <v>0</v>
      </c>
      <c r="S32">
        <v>0</v>
      </c>
      <c r="U32">
        <v>0</v>
      </c>
      <c r="V32">
        <v>2</v>
      </c>
      <c r="W32">
        <v>2</v>
      </c>
      <c r="X32">
        <v>1</v>
      </c>
      <c r="Y32">
        <v>0</v>
      </c>
      <c r="Z32">
        <v>0</v>
      </c>
      <c r="AA32">
        <v>1</v>
      </c>
      <c r="AB32">
        <v>0</v>
      </c>
      <c r="AC32">
        <v>5</v>
      </c>
      <c r="AD32">
        <v>-1.6</v>
      </c>
      <c r="AE32">
        <v>1</v>
      </c>
      <c r="AF32" t="s">
        <v>4</v>
      </c>
    </row>
    <row r="33" spans="1:32" x14ac:dyDescent="0.2">
      <c r="A33">
        <v>35</v>
      </c>
      <c r="B33">
        <v>32</v>
      </c>
      <c r="C33" s="1">
        <v>44560</v>
      </c>
      <c r="D33" t="s">
        <v>180</v>
      </c>
      <c r="E33" t="s">
        <v>70</v>
      </c>
      <c r="F33" t="s">
        <v>3</v>
      </c>
      <c r="G33" t="s">
        <v>15</v>
      </c>
      <c r="H33" t="s">
        <v>0</v>
      </c>
      <c r="I33" t="s">
        <v>181</v>
      </c>
      <c r="J33">
        <v>1</v>
      </c>
      <c r="K33" t="s">
        <v>182</v>
      </c>
      <c r="L33">
        <v>10</v>
      </c>
      <c r="M33">
        <v>18</v>
      </c>
      <c r="N33">
        <v>0.55600000000000005</v>
      </c>
      <c r="O33">
        <v>5</v>
      </c>
      <c r="P33">
        <v>8</v>
      </c>
      <c r="Q33">
        <v>0.625</v>
      </c>
      <c r="R33">
        <v>0</v>
      </c>
      <c r="S33">
        <v>0</v>
      </c>
      <c r="U33">
        <v>2</v>
      </c>
      <c r="V33">
        <v>5</v>
      </c>
      <c r="W33">
        <v>7</v>
      </c>
      <c r="X33">
        <v>4</v>
      </c>
      <c r="Y33">
        <v>0</v>
      </c>
      <c r="Z33">
        <v>0</v>
      </c>
      <c r="AA33">
        <v>0</v>
      </c>
      <c r="AB33">
        <v>3</v>
      </c>
      <c r="AC33">
        <v>25</v>
      </c>
      <c r="AD33">
        <v>20.9</v>
      </c>
      <c r="AE33">
        <v>6</v>
      </c>
      <c r="AF33" t="s">
        <v>4</v>
      </c>
    </row>
    <row r="34" spans="1:32" x14ac:dyDescent="0.2">
      <c r="A34">
        <v>40</v>
      </c>
      <c r="B34">
        <v>33</v>
      </c>
      <c r="C34" s="1">
        <v>44573</v>
      </c>
      <c r="D34" t="s">
        <v>177</v>
      </c>
      <c r="E34" t="s">
        <v>70</v>
      </c>
      <c r="F34" t="s">
        <v>2</v>
      </c>
      <c r="G34" t="s">
        <v>17</v>
      </c>
      <c r="H34" t="s">
        <v>0</v>
      </c>
      <c r="I34" t="s">
        <v>178</v>
      </c>
      <c r="J34">
        <v>1</v>
      </c>
      <c r="K34" t="s">
        <v>179</v>
      </c>
      <c r="L34">
        <v>4</v>
      </c>
      <c r="M34">
        <v>13</v>
      </c>
      <c r="N34">
        <v>0.308</v>
      </c>
      <c r="O34">
        <v>2</v>
      </c>
      <c r="P34">
        <v>4</v>
      </c>
      <c r="Q34">
        <v>0.5</v>
      </c>
      <c r="R34">
        <v>0</v>
      </c>
      <c r="S34">
        <v>0</v>
      </c>
      <c r="U34">
        <v>0</v>
      </c>
      <c r="V34">
        <v>3</v>
      </c>
      <c r="W34">
        <v>3</v>
      </c>
      <c r="X34">
        <v>3</v>
      </c>
      <c r="Y34">
        <v>0</v>
      </c>
      <c r="Z34">
        <v>0</v>
      </c>
      <c r="AA34">
        <v>0</v>
      </c>
      <c r="AB34">
        <v>0</v>
      </c>
      <c r="AC34">
        <v>10</v>
      </c>
      <c r="AD34">
        <v>5.5</v>
      </c>
      <c r="AE34">
        <v>-16</v>
      </c>
      <c r="AF34" t="s">
        <v>12</v>
      </c>
    </row>
    <row r="35" spans="1:32" x14ac:dyDescent="0.2">
      <c r="A35">
        <v>41</v>
      </c>
      <c r="B35">
        <v>34</v>
      </c>
      <c r="C35" s="1">
        <v>44575</v>
      </c>
      <c r="D35" t="s">
        <v>174</v>
      </c>
      <c r="E35" t="s">
        <v>70</v>
      </c>
      <c r="F35" t="s">
        <v>2</v>
      </c>
      <c r="G35" t="s">
        <v>14</v>
      </c>
      <c r="H35" t="s">
        <v>0</v>
      </c>
      <c r="I35" t="s">
        <v>175</v>
      </c>
      <c r="J35">
        <v>1</v>
      </c>
      <c r="K35" t="s">
        <v>176</v>
      </c>
      <c r="L35">
        <v>8</v>
      </c>
      <c r="M35">
        <v>16</v>
      </c>
      <c r="N35">
        <v>0.5</v>
      </c>
      <c r="O35">
        <v>5</v>
      </c>
      <c r="P35">
        <v>7</v>
      </c>
      <c r="Q35">
        <v>0.71399999999999997</v>
      </c>
      <c r="R35">
        <v>2</v>
      </c>
      <c r="S35">
        <v>2</v>
      </c>
      <c r="T35">
        <v>1</v>
      </c>
      <c r="U35">
        <v>0</v>
      </c>
      <c r="V35">
        <v>0</v>
      </c>
      <c r="W35">
        <v>0</v>
      </c>
      <c r="X35">
        <v>5</v>
      </c>
      <c r="Y35">
        <v>1</v>
      </c>
      <c r="Z35">
        <v>0</v>
      </c>
      <c r="AA35">
        <v>0</v>
      </c>
      <c r="AB35">
        <v>2</v>
      </c>
      <c r="AC35">
        <v>23</v>
      </c>
      <c r="AD35">
        <v>18.7</v>
      </c>
      <c r="AE35">
        <v>6</v>
      </c>
      <c r="AF35" t="s">
        <v>4</v>
      </c>
    </row>
    <row r="36" spans="1:32" x14ac:dyDescent="0.2">
      <c r="A36">
        <v>42</v>
      </c>
      <c r="B36">
        <v>35</v>
      </c>
      <c r="C36" s="1">
        <v>44576</v>
      </c>
      <c r="D36" t="s">
        <v>172</v>
      </c>
      <c r="E36" t="s">
        <v>70</v>
      </c>
      <c r="F36" t="s">
        <v>3</v>
      </c>
      <c r="G36" t="s">
        <v>28</v>
      </c>
      <c r="H36" t="s">
        <v>1</v>
      </c>
      <c r="I36" t="s">
        <v>145</v>
      </c>
      <c r="J36">
        <v>1</v>
      </c>
      <c r="K36" t="s">
        <v>173</v>
      </c>
      <c r="L36">
        <v>4</v>
      </c>
      <c r="M36">
        <v>11</v>
      </c>
      <c r="N36">
        <v>0.36399999999999999</v>
      </c>
      <c r="O36">
        <v>1</v>
      </c>
      <c r="P36">
        <v>4</v>
      </c>
      <c r="Q36">
        <v>0.25</v>
      </c>
      <c r="R36">
        <v>4</v>
      </c>
      <c r="S36">
        <v>5</v>
      </c>
      <c r="T36">
        <v>0.8</v>
      </c>
      <c r="U36">
        <v>0</v>
      </c>
      <c r="V36">
        <v>7</v>
      </c>
      <c r="W36">
        <v>7</v>
      </c>
      <c r="X36">
        <v>4</v>
      </c>
      <c r="Y36">
        <v>0</v>
      </c>
      <c r="Z36">
        <v>2</v>
      </c>
      <c r="AA36">
        <v>2</v>
      </c>
      <c r="AB36">
        <v>4</v>
      </c>
      <c r="AC36">
        <v>13</v>
      </c>
      <c r="AD36">
        <v>9.1999999999999993</v>
      </c>
      <c r="AE36">
        <v>15</v>
      </c>
      <c r="AF36" t="s">
        <v>4</v>
      </c>
    </row>
    <row r="37" spans="1:32" x14ac:dyDescent="0.2">
      <c r="A37">
        <v>43</v>
      </c>
      <c r="B37">
        <v>36</v>
      </c>
      <c r="C37" s="1">
        <v>44578</v>
      </c>
      <c r="D37" t="s">
        <v>169</v>
      </c>
      <c r="E37" t="s">
        <v>70</v>
      </c>
      <c r="F37" t="s">
        <v>3</v>
      </c>
      <c r="G37" t="s">
        <v>41</v>
      </c>
      <c r="H37" t="s">
        <v>0</v>
      </c>
      <c r="I37" t="s">
        <v>170</v>
      </c>
      <c r="J37">
        <v>1</v>
      </c>
      <c r="K37" t="s">
        <v>171</v>
      </c>
      <c r="L37">
        <v>5</v>
      </c>
      <c r="M37">
        <v>10</v>
      </c>
      <c r="N37">
        <v>0.5</v>
      </c>
      <c r="O37">
        <v>0</v>
      </c>
      <c r="P37">
        <v>1</v>
      </c>
      <c r="Q37">
        <v>0</v>
      </c>
      <c r="R37">
        <v>8</v>
      </c>
      <c r="S37">
        <v>9</v>
      </c>
      <c r="T37">
        <v>0.88900000000000001</v>
      </c>
      <c r="U37">
        <v>0</v>
      </c>
      <c r="V37">
        <v>4</v>
      </c>
      <c r="W37">
        <v>4</v>
      </c>
      <c r="X37">
        <v>3</v>
      </c>
      <c r="Y37">
        <v>1</v>
      </c>
      <c r="Z37">
        <v>0</v>
      </c>
      <c r="AA37">
        <v>0</v>
      </c>
      <c r="AB37">
        <v>1</v>
      </c>
      <c r="AC37">
        <v>18</v>
      </c>
      <c r="AD37">
        <v>16.5</v>
      </c>
      <c r="AE37">
        <v>-28</v>
      </c>
      <c r="AF37" t="s">
        <v>12</v>
      </c>
    </row>
    <row r="38" spans="1:32" x14ac:dyDescent="0.2">
      <c r="A38">
        <v>44</v>
      </c>
      <c r="B38">
        <v>37</v>
      </c>
      <c r="C38" s="1">
        <v>44580</v>
      </c>
      <c r="D38" t="s">
        <v>167</v>
      </c>
      <c r="E38" t="s">
        <v>70</v>
      </c>
      <c r="F38" t="s">
        <v>2</v>
      </c>
      <c r="G38" t="s">
        <v>34</v>
      </c>
      <c r="H38" t="s">
        <v>0</v>
      </c>
      <c r="I38" t="s">
        <v>140</v>
      </c>
      <c r="J38">
        <v>1</v>
      </c>
      <c r="K38" t="s">
        <v>168</v>
      </c>
      <c r="L38">
        <v>6</v>
      </c>
      <c r="M38">
        <v>10</v>
      </c>
      <c r="N38">
        <v>0.6</v>
      </c>
      <c r="O38">
        <v>2</v>
      </c>
      <c r="P38">
        <v>3</v>
      </c>
      <c r="Q38">
        <v>0.66700000000000004</v>
      </c>
      <c r="R38">
        <v>0</v>
      </c>
      <c r="S38">
        <v>0</v>
      </c>
      <c r="U38">
        <v>1</v>
      </c>
      <c r="V38">
        <v>2</v>
      </c>
      <c r="W38">
        <v>3</v>
      </c>
      <c r="X38">
        <v>2</v>
      </c>
      <c r="Y38">
        <v>1</v>
      </c>
      <c r="Z38">
        <v>0</v>
      </c>
      <c r="AA38">
        <v>0</v>
      </c>
      <c r="AB38">
        <v>0</v>
      </c>
      <c r="AC38">
        <v>14</v>
      </c>
      <c r="AD38">
        <v>13.1</v>
      </c>
      <c r="AE38">
        <v>21</v>
      </c>
      <c r="AF38" t="s">
        <v>4</v>
      </c>
    </row>
    <row r="39" spans="1:32" x14ac:dyDescent="0.2">
      <c r="A39">
        <v>45</v>
      </c>
      <c r="B39">
        <v>38</v>
      </c>
      <c r="C39" s="1">
        <v>44582</v>
      </c>
      <c r="D39" t="s">
        <v>164</v>
      </c>
      <c r="E39" t="s">
        <v>70</v>
      </c>
      <c r="F39" t="s">
        <v>2</v>
      </c>
      <c r="G39" t="s">
        <v>25</v>
      </c>
      <c r="H39" t="s">
        <v>0</v>
      </c>
      <c r="I39" t="s">
        <v>165</v>
      </c>
      <c r="J39">
        <v>1</v>
      </c>
      <c r="K39" t="s">
        <v>166</v>
      </c>
      <c r="L39">
        <v>7</v>
      </c>
      <c r="M39">
        <v>18</v>
      </c>
      <c r="N39">
        <v>0.38900000000000001</v>
      </c>
      <c r="O39">
        <v>3</v>
      </c>
      <c r="P39">
        <v>6</v>
      </c>
      <c r="Q39">
        <v>0.5</v>
      </c>
      <c r="R39">
        <v>2</v>
      </c>
      <c r="S39">
        <v>2</v>
      </c>
      <c r="T39">
        <v>1</v>
      </c>
      <c r="U39">
        <v>0</v>
      </c>
      <c r="V39">
        <v>2</v>
      </c>
      <c r="W39">
        <v>2</v>
      </c>
      <c r="X39">
        <v>8</v>
      </c>
      <c r="Y39">
        <v>0</v>
      </c>
      <c r="Z39">
        <v>0</v>
      </c>
      <c r="AA39">
        <v>0</v>
      </c>
      <c r="AB39">
        <v>1</v>
      </c>
      <c r="AC39">
        <v>19</v>
      </c>
      <c r="AD39">
        <v>15</v>
      </c>
      <c r="AE39">
        <v>-1</v>
      </c>
      <c r="AF39" t="s">
        <v>12</v>
      </c>
    </row>
    <row r="40" spans="1:32" x14ac:dyDescent="0.2">
      <c r="A40">
        <v>46</v>
      </c>
      <c r="B40">
        <v>39</v>
      </c>
      <c r="C40" s="1">
        <v>44584</v>
      </c>
      <c r="D40" t="s">
        <v>162</v>
      </c>
      <c r="E40" t="s">
        <v>70</v>
      </c>
      <c r="F40" t="s">
        <v>3</v>
      </c>
      <c r="G40" t="s">
        <v>38</v>
      </c>
      <c r="H40" t="s">
        <v>0</v>
      </c>
      <c r="I40" t="s">
        <v>121</v>
      </c>
      <c r="J40">
        <v>1</v>
      </c>
      <c r="K40" t="s">
        <v>163</v>
      </c>
      <c r="L40">
        <v>6</v>
      </c>
      <c r="M40">
        <v>14</v>
      </c>
      <c r="N40">
        <v>0.42899999999999999</v>
      </c>
      <c r="O40">
        <v>1</v>
      </c>
      <c r="P40">
        <v>2</v>
      </c>
      <c r="Q40">
        <v>0.5</v>
      </c>
      <c r="R40">
        <v>5</v>
      </c>
      <c r="S40">
        <v>5</v>
      </c>
      <c r="T40">
        <v>1</v>
      </c>
      <c r="U40">
        <v>1</v>
      </c>
      <c r="V40">
        <v>3</v>
      </c>
      <c r="W40">
        <v>4</v>
      </c>
      <c r="X40">
        <v>6</v>
      </c>
      <c r="Y40">
        <v>1</v>
      </c>
      <c r="Z40">
        <v>0</v>
      </c>
      <c r="AA40">
        <v>4</v>
      </c>
      <c r="AB40">
        <v>2</v>
      </c>
      <c r="AC40">
        <v>18</v>
      </c>
      <c r="AD40">
        <v>12.6</v>
      </c>
      <c r="AE40">
        <v>7</v>
      </c>
      <c r="AF40" t="s">
        <v>4</v>
      </c>
    </row>
    <row r="41" spans="1:32" x14ac:dyDescent="0.2">
      <c r="A41">
        <v>47</v>
      </c>
      <c r="B41">
        <v>40</v>
      </c>
      <c r="C41" s="1">
        <v>44586</v>
      </c>
      <c r="D41" t="s">
        <v>160</v>
      </c>
      <c r="E41" t="s">
        <v>70</v>
      </c>
      <c r="F41" t="s">
        <v>2</v>
      </c>
      <c r="G41" t="s">
        <v>31</v>
      </c>
      <c r="H41" t="s">
        <v>0</v>
      </c>
      <c r="I41" t="s">
        <v>101</v>
      </c>
      <c r="J41">
        <v>1</v>
      </c>
      <c r="K41" t="s">
        <v>161</v>
      </c>
      <c r="L41">
        <v>4</v>
      </c>
      <c r="M41">
        <v>10</v>
      </c>
      <c r="N41">
        <v>0.4</v>
      </c>
      <c r="O41">
        <v>2</v>
      </c>
      <c r="P41">
        <v>4</v>
      </c>
      <c r="Q41">
        <v>0.5</v>
      </c>
      <c r="R41">
        <v>0</v>
      </c>
      <c r="S41">
        <v>0</v>
      </c>
      <c r="U41">
        <v>0</v>
      </c>
      <c r="V41">
        <v>3</v>
      </c>
      <c r="W41">
        <v>3</v>
      </c>
      <c r="X41">
        <v>5</v>
      </c>
      <c r="Y41">
        <v>0</v>
      </c>
      <c r="Z41">
        <v>0</v>
      </c>
      <c r="AA41">
        <v>1</v>
      </c>
      <c r="AB41">
        <v>4</v>
      </c>
      <c r="AC41">
        <v>10</v>
      </c>
      <c r="AD41">
        <v>6.4</v>
      </c>
      <c r="AE41">
        <v>8</v>
      </c>
      <c r="AF41" t="s">
        <v>4</v>
      </c>
    </row>
    <row r="42" spans="1:32" x14ac:dyDescent="0.2">
      <c r="A42">
        <v>48</v>
      </c>
      <c r="B42">
        <v>41</v>
      </c>
      <c r="C42" s="1">
        <v>44588</v>
      </c>
      <c r="D42" t="s">
        <v>157</v>
      </c>
      <c r="E42" t="s">
        <v>70</v>
      </c>
      <c r="F42" t="s">
        <v>2</v>
      </c>
      <c r="G42" t="s">
        <v>26</v>
      </c>
      <c r="H42" t="s">
        <v>0</v>
      </c>
      <c r="I42" t="s">
        <v>158</v>
      </c>
      <c r="J42">
        <v>1</v>
      </c>
      <c r="K42" t="s">
        <v>159</v>
      </c>
      <c r="L42">
        <v>5</v>
      </c>
      <c r="M42">
        <v>14</v>
      </c>
      <c r="N42">
        <v>0.35699999999999998</v>
      </c>
      <c r="O42">
        <v>2</v>
      </c>
      <c r="P42">
        <v>6</v>
      </c>
      <c r="Q42">
        <v>0.33300000000000002</v>
      </c>
      <c r="R42">
        <v>2</v>
      </c>
      <c r="S42">
        <v>4</v>
      </c>
      <c r="T42">
        <v>0.5</v>
      </c>
      <c r="U42">
        <v>0</v>
      </c>
      <c r="V42">
        <v>7</v>
      </c>
      <c r="W42">
        <v>7</v>
      </c>
      <c r="X42">
        <v>10</v>
      </c>
      <c r="Y42">
        <v>0</v>
      </c>
      <c r="Z42">
        <v>2</v>
      </c>
      <c r="AA42">
        <v>2</v>
      </c>
      <c r="AB42">
        <v>4</v>
      </c>
      <c r="AC42">
        <v>14</v>
      </c>
      <c r="AD42">
        <v>12.3</v>
      </c>
      <c r="AE42">
        <v>27</v>
      </c>
      <c r="AF42" t="s">
        <v>4</v>
      </c>
    </row>
    <row r="43" spans="1:32" x14ac:dyDescent="0.2">
      <c r="A43">
        <v>49</v>
      </c>
      <c r="B43">
        <v>42</v>
      </c>
      <c r="C43" s="1">
        <v>44590</v>
      </c>
      <c r="D43" t="s">
        <v>155</v>
      </c>
      <c r="E43" t="s">
        <v>70</v>
      </c>
      <c r="F43" t="s">
        <v>2</v>
      </c>
      <c r="G43" t="s">
        <v>37</v>
      </c>
      <c r="H43" t="s">
        <v>0</v>
      </c>
      <c r="I43" t="s">
        <v>109</v>
      </c>
      <c r="J43">
        <v>1</v>
      </c>
      <c r="K43" t="s">
        <v>156</v>
      </c>
      <c r="L43">
        <v>6</v>
      </c>
      <c r="M43">
        <v>12</v>
      </c>
      <c r="N43">
        <v>0.5</v>
      </c>
      <c r="O43">
        <v>1</v>
      </c>
      <c r="P43">
        <v>3</v>
      </c>
      <c r="Q43">
        <v>0.33300000000000002</v>
      </c>
      <c r="R43">
        <v>0</v>
      </c>
      <c r="S43">
        <v>1</v>
      </c>
      <c r="T43">
        <v>0</v>
      </c>
      <c r="U43">
        <v>1</v>
      </c>
      <c r="V43">
        <v>1</v>
      </c>
      <c r="W43">
        <v>2</v>
      </c>
      <c r="X43">
        <v>7</v>
      </c>
      <c r="Y43">
        <v>1</v>
      </c>
      <c r="Z43">
        <v>0</v>
      </c>
      <c r="AA43">
        <v>2</v>
      </c>
      <c r="AB43">
        <v>1</v>
      </c>
      <c r="AC43">
        <v>13</v>
      </c>
      <c r="AD43">
        <v>11.1</v>
      </c>
      <c r="AE43">
        <v>5</v>
      </c>
      <c r="AF43" t="s">
        <v>4</v>
      </c>
    </row>
    <row r="44" spans="1:32" x14ac:dyDescent="0.2">
      <c r="A44">
        <v>50</v>
      </c>
      <c r="B44">
        <v>43</v>
      </c>
      <c r="C44" s="1">
        <v>44592</v>
      </c>
      <c r="D44" t="s">
        <v>153</v>
      </c>
      <c r="E44" t="s">
        <v>70</v>
      </c>
      <c r="F44" t="s">
        <v>2</v>
      </c>
      <c r="G44" t="s">
        <v>27</v>
      </c>
      <c r="H44" t="s">
        <v>1</v>
      </c>
      <c r="I44" t="s">
        <v>132</v>
      </c>
      <c r="J44">
        <v>1</v>
      </c>
      <c r="K44" t="s">
        <v>154</v>
      </c>
      <c r="L44">
        <v>13</v>
      </c>
      <c r="M44">
        <v>23</v>
      </c>
      <c r="N44">
        <v>0.56499999999999995</v>
      </c>
      <c r="O44">
        <v>1</v>
      </c>
      <c r="P44">
        <v>4</v>
      </c>
      <c r="Q44">
        <v>0.25</v>
      </c>
      <c r="R44">
        <v>6</v>
      </c>
      <c r="S44">
        <v>7</v>
      </c>
      <c r="T44">
        <v>0.85699999999999998</v>
      </c>
      <c r="U44">
        <v>0</v>
      </c>
      <c r="V44">
        <v>3</v>
      </c>
      <c r="W44">
        <v>3</v>
      </c>
      <c r="X44">
        <v>8</v>
      </c>
      <c r="Y44">
        <v>1</v>
      </c>
      <c r="Z44">
        <v>4</v>
      </c>
      <c r="AA44">
        <v>3</v>
      </c>
      <c r="AB44">
        <v>0</v>
      </c>
      <c r="AC44">
        <v>33</v>
      </c>
      <c r="AD44">
        <v>29</v>
      </c>
      <c r="AE44">
        <v>5</v>
      </c>
      <c r="AF44" t="s">
        <v>4</v>
      </c>
    </row>
    <row r="45" spans="1:32" x14ac:dyDescent="0.2">
      <c r="A45">
        <v>51</v>
      </c>
      <c r="B45">
        <v>44</v>
      </c>
      <c r="C45" s="1">
        <v>44594</v>
      </c>
      <c r="D45" t="s">
        <v>150</v>
      </c>
      <c r="E45" t="s">
        <v>70</v>
      </c>
      <c r="F45" t="s">
        <v>2</v>
      </c>
      <c r="G45" t="s">
        <v>41</v>
      </c>
      <c r="H45" t="s">
        <v>0</v>
      </c>
      <c r="I45" t="s">
        <v>151</v>
      </c>
      <c r="J45">
        <v>1</v>
      </c>
      <c r="K45" t="s">
        <v>152</v>
      </c>
      <c r="L45">
        <v>9</v>
      </c>
      <c r="M45">
        <v>16</v>
      </c>
      <c r="N45">
        <v>0.56299999999999994</v>
      </c>
      <c r="O45">
        <v>2</v>
      </c>
      <c r="P45">
        <v>4</v>
      </c>
      <c r="Q45">
        <v>0.5</v>
      </c>
      <c r="R45">
        <v>2</v>
      </c>
      <c r="S45">
        <v>2</v>
      </c>
      <c r="T45">
        <v>1</v>
      </c>
      <c r="U45">
        <v>1</v>
      </c>
      <c r="V45">
        <v>7</v>
      </c>
      <c r="W45">
        <v>8</v>
      </c>
      <c r="X45">
        <v>7</v>
      </c>
      <c r="Y45">
        <v>1</v>
      </c>
      <c r="Z45">
        <v>0</v>
      </c>
      <c r="AA45">
        <v>0</v>
      </c>
      <c r="AB45">
        <v>3</v>
      </c>
      <c r="AC45">
        <v>22</v>
      </c>
      <c r="AD45">
        <v>21.9</v>
      </c>
      <c r="AE45">
        <v>9</v>
      </c>
      <c r="AF45" t="s">
        <v>12</v>
      </c>
    </row>
    <row r="46" spans="1:32" x14ac:dyDescent="0.2">
      <c r="A46">
        <v>52</v>
      </c>
      <c r="B46">
        <v>45</v>
      </c>
      <c r="C46" s="1">
        <v>44596</v>
      </c>
      <c r="D46" t="s">
        <v>147</v>
      </c>
      <c r="E46" t="s">
        <v>70</v>
      </c>
      <c r="F46" t="s">
        <v>3</v>
      </c>
      <c r="G46" t="s">
        <v>18</v>
      </c>
      <c r="H46" t="s">
        <v>0</v>
      </c>
      <c r="I46" t="s">
        <v>148</v>
      </c>
      <c r="J46">
        <v>1</v>
      </c>
      <c r="K46" t="s">
        <v>149</v>
      </c>
      <c r="L46">
        <v>7</v>
      </c>
      <c r="M46">
        <v>12</v>
      </c>
      <c r="N46">
        <v>0.58299999999999996</v>
      </c>
      <c r="O46">
        <v>0</v>
      </c>
      <c r="P46">
        <v>2</v>
      </c>
      <c r="Q46">
        <v>0</v>
      </c>
      <c r="R46">
        <v>4</v>
      </c>
      <c r="S46">
        <v>4</v>
      </c>
      <c r="T46">
        <v>1</v>
      </c>
      <c r="U46">
        <v>0</v>
      </c>
      <c r="V46">
        <v>2</v>
      </c>
      <c r="W46">
        <v>2</v>
      </c>
      <c r="X46">
        <v>6</v>
      </c>
      <c r="Y46">
        <v>0</v>
      </c>
      <c r="Z46">
        <v>0</v>
      </c>
      <c r="AA46">
        <v>1</v>
      </c>
      <c r="AB46">
        <v>5</v>
      </c>
      <c r="AC46">
        <v>18</v>
      </c>
      <c r="AD46">
        <v>14.2</v>
      </c>
      <c r="AE46">
        <v>-6</v>
      </c>
      <c r="AF46" t="s">
        <v>12</v>
      </c>
    </row>
    <row r="47" spans="1:32" x14ac:dyDescent="0.2">
      <c r="A47">
        <v>53</v>
      </c>
      <c r="B47">
        <v>46</v>
      </c>
      <c r="C47" s="1">
        <v>44598</v>
      </c>
      <c r="D47" t="s">
        <v>144</v>
      </c>
      <c r="E47" t="s">
        <v>70</v>
      </c>
      <c r="F47" t="s">
        <v>3</v>
      </c>
      <c r="G47" t="s">
        <v>16</v>
      </c>
      <c r="H47" t="s">
        <v>1</v>
      </c>
      <c r="I47" t="s">
        <v>145</v>
      </c>
      <c r="J47">
        <v>1</v>
      </c>
      <c r="K47" t="s">
        <v>146</v>
      </c>
      <c r="L47">
        <v>6</v>
      </c>
      <c r="M47">
        <v>9</v>
      </c>
      <c r="N47">
        <v>0.66700000000000004</v>
      </c>
      <c r="O47">
        <v>3</v>
      </c>
      <c r="P47">
        <v>4</v>
      </c>
      <c r="Q47">
        <v>0.75</v>
      </c>
      <c r="R47">
        <v>1</v>
      </c>
      <c r="S47">
        <v>1</v>
      </c>
      <c r="T47">
        <v>1</v>
      </c>
      <c r="U47">
        <v>0</v>
      </c>
      <c r="V47">
        <v>4</v>
      </c>
      <c r="W47">
        <v>4</v>
      </c>
      <c r="X47">
        <v>6</v>
      </c>
      <c r="Y47">
        <v>3</v>
      </c>
      <c r="Z47">
        <v>0</v>
      </c>
      <c r="AA47">
        <v>0</v>
      </c>
      <c r="AB47">
        <v>0</v>
      </c>
      <c r="AC47">
        <v>16</v>
      </c>
      <c r="AD47">
        <v>20.5</v>
      </c>
      <c r="AE47">
        <v>11</v>
      </c>
      <c r="AF47" t="s">
        <v>4</v>
      </c>
    </row>
    <row r="48" spans="1:32" x14ac:dyDescent="0.2">
      <c r="A48">
        <v>54</v>
      </c>
      <c r="B48">
        <v>47</v>
      </c>
      <c r="C48" s="1">
        <v>44600</v>
      </c>
      <c r="D48" t="s">
        <v>142</v>
      </c>
      <c r="E48" t="s">
        <v>70</v>
      </c>
      <c r="F48" t="s">
        <v>2</v>
      </c>
      <c r="G48" t="s">
        <v>35</v>
      </c>
      <c r="H48" t="s">
        <v>1</v>
      </c>
      <c r="I48" t="s">
        <v>98</v>
      </c>
      <c r="J48">
        <v>1</v>
      </c>
      <c r="K48" t="s">
        <v>143</v>
      </c>
      <c r="L48">
        <v>5</v>
      </c>
      <c r="M48">
        <v>16</v>
      </c>
      <c r="N48">
        <v>0.313</v>
      </c>
      <c r="O48">
        <v>0</v>
      </c>
      <c r="P48">
        <v>4</v>
      </c>
      <c r="Q48">
        <v>0</v>
      </c>
      <c r="R48">
        <v>4</v>
      </c>
      <c r="S48">
        <v>4</v>
      </c>
      <c r="T48">
        <v>1</v>
      </c>
      <c r="U48">
        <v>0</v>
      </c>
      <c r="V48">
        <v>6</v>
      </c>
      <c r="W48">
        <v>6</v>
      </c>
      <c r="X48">
        <v>4</v>
      </c>
      <c r="Y48">
        <v>0</v>
      </c>
      <c r="Z48">
        <v>0</v>
      </c>
      <c r="AA48">
        <v>2</v>
      </c>
      <c r="AB48">
        <v>3</v>
      </c>
      <c r="AC48">
        <v>14</v>
      </c>
      <c r="AD48">
        <v>6.2</v>
      </c>
      <c r="AE48">
        <v>-1</v>
      </c>
      <c r="AF48" t="s">
        <v>12</v>
      </c>
    </row>
    <row r="49" spans="1:32" x14ac:dyDescent="0.2">
      <c r="A49">
        <v>55</v>
      </c>
      <c r="B49">
        <v>48</v>
      </c>
      <c r="C49" s="1">
        <v>44603</v>
      </c>
      <c r="D49" t="s">
        <v>139</v>
      </c>
      <c r="E49" t="s">
        <v>70</v>
      </c>
      <c r="F49" t="s">
        <v>2</v>
      </c>
      <c r="G49" t="s">
        <v>33</v>
      </c>
      <c r="H49" t="s">
        <v>0</v>
      </c>
      <c r="I49" t="s">
        <v>140</v>
      </c>
      <c r="J49">
        <v>1</v>
      </c>
      <c r="K49" t="s">
        <v>141</v>
      </c>
      <c r="L49">
        <v>9</v>
      </c>
      <c r="M49">
        <v>14</v>
      </c>
      <c r="N49">
        <v>0.64300000000000002</v>
      </c>
      <c r="O49">
        <v>2</v>
      </c>
      <c r="P49">
        <v>4</v>
      </c>
      <c r="Q49">
        <v>0.5</v>
      </c>
      <c r="R49">
        <v>4</v>
      </c>
      <c r="S49">
        <v>5</v>
      </c>
      <c r="T49">
        <v>0.8</v>
      </c>
      <c r="U49">
        <v>2</v>
      </c>
      <c r="V49">
        <v>3</v>
      </c>
      <c r="W49">
        <v>5</v>
      </c>
      <c r="X49">
        <v>2</v>
      </c>
      <c r="Y49">
        <v>0</v>
      </c>
      <c r="Z49">
        <v>0</v>
      </c>
      <c r="AA49">
        <v>1</v>
      </c>
      <c r="AB49">
        <v>2</v>
      </c>
      <c r="AC49">
        <v>24</v>
      </c>
      <c r="AD49">
        <v>19.3</v>
      </c>
      <c r="AE49">
        <v>20</v>
      </c>
      <c r="AF49" t="s">
        <v>4</v>
      </c>
    </row>
    <row r="50" spans="1:32" x14ac:dyDescent="0.2">
      <c r="A50">
        <v>56</v>
      </c>
      <c r="B50">
        <v>49</v>
      </c>
      <c r="C50" s="1">
        <v>44604</v>
      </c>
      <c r="D50" t="s">
        <v>137</v>
      </c>
      <c r="E50" t="s">
        <v>70</v>
      </c>
      <c r="F50" t="s">
        <v>2</v>
      </c>
      <c r="G50" t="s">
        <v>19</v>
      </c>
      <c r="H50" t="s">
        <v>1</v>
      </c>
      <c r="I50" t="s">
        <v>101</v>
      </c>
      <c r="J50">
        <v>1</v>
      </c>
      <c r="K50" t="s">
        <v>138</v>
      </c>
      <c r="L50">
        <v>6</v>
      </c>
      <c r="M50">
        <v>12</v>
      </c>
      <c r="N50">
        <v>0.5</v>
      </c>
      <c r="O50">
        <v>1</v>
      </c>
      <c r="P50">
        <v>3</v>
      </c>
      <c r="Q50">
        <v>0.33300000000000002</v>
      </c>
      <c r="R50">
        <v>3</v>
      </c>
      <c r="S50">
        <v>5</v>
      </c>
      <c r="T50">
        <v>0.6</v>
      </c>
      <c r="U50">
        <v>0</v>
      </c>
      <c r="V50">
        <v>2</v>
      </c>
      <c r="W50">
        <v>2</v>
      </c>
      <c r="X50">
        <v>2</v>
      </c>
      <c r="Y50">
        <v>1</v>
      </c>
      <c r="Z50">
        <v>0</v>
      </c>
      <c r="AA50">
        <v>1</v>
      </c>
      <c r="AB50">
        <v>0</v>
      </c>
      <c r="AC50">
        <v>16</v>
      </c>
      <c r="AD50">
        <v>11.2</v>
      </c>
      <c r="AE50">
        <v>19</v>
      </c>
      <c r="AF50" t="s">
        <v>4</v>
      </c>
    </row>
    <row r="51" spans="1:32" x14ac:dyDescent="0.2">
      <c r="A51">
        <v>57</v>
      </c>
      <c r="B51">
        <v>50</v>
      </c>
      <c r="C51" s="1">
        <v>44607</v>
      </c>
      <c r="D51" t="s">
        <v>134</v>
      </c>
      <c r="E51" t="s">
        <v>70</v>
      </c>
      <c r="F51" t="s">
        <v>2</v>
      </c>
      <c r="G51" t="s">
        <v>14</v>
      </c>
      <c r="H51" t="s">
        <v>0</v>
      </c>
      <c r="I51" t="s">
        <v>135</v>
      </c>
      <c r="J51">
        <v>1</v>
      </c>
      <c r="K51" t="s">
        <v>136</v>
      </c>
      <c r="L51">
        <v>3</v>
      </c>
      <c r="M51">
        <v>11</v>
      </c>
      <c r="N51">
        <v>0.27300000000000002</v>
      </c>
      <c r="O51">
        <v>1</v>
      </c>
      <c r="P51">
        <v>4</v>
      </c>
      <c r="Q51">
        <v>0.25</v>
      </c>
      <c r="R51">
        <v>4</v>
      </c>
      <c r="S51">
        <v>4</v>
      </c>
      <c r="T51">
        <v>1</v>
      </c>
      <c r="U51">
        <v>0</v>
      </c>
      <c r="V51">
        <v>2</v>
      </c>
      <c r="W51">
        <v>2</v>
      </c>
      <c r="X51">
        <v>1</v>
      </c>
      <c r="Y51">
        <v>0</v>
      </c>
      <c r="Z51">
        <v>0</v>
      </c>
      <c r="AA51">
        <v>1</v>
      </c>
      <c r="AB51">
        <v>1</v>
      </c>
      <c r="AC51">
        <v>11</v>
      </c>
      <c r="AD51">
        <v>4.4000000000000004</v>
      </c>
      <c r="AE51">
        <v>-34</v>
      </c>
      <c r="AF51" t="s">
        <v>12</v>
      </c>
    </row>
    <row r="52" spans="1:32" x14ac:dyDescent="0.2">
      <c r="A52">
        <v>58</v>
      </c>
      <c r="B52">
        <v>51</v>
      </c>
      <c r="C52" s="1">
        <v>44609</v>
      </c>
      <c r="D52" t="s">
        <v>131</v>
      </c>
      <c r="E52" t="s">
        <v>70</v>
      </c>
      <c r="F52" t="s">
        <v>3</v>
      </c>
      <c r="G52" t="s">
        <v>29</v>
      </c>
      <c r="H52" t="s">
        <v>1</v>
      </c>
      <c r="I52" t="s">
        <v>132</v>
      </c>
      <c r="J52">
        <v>1</v>
      </c>
      <c r="K52" t="s">
        <v>133</v>
      </c>
      <c r="L52">
        <v>4</v>
      </c>
      <c r="M52">
        <v>13</v>
      </c>
      <c r="N52">
        <v>0.308</v>
      </c>
      <c r="O52">
        <v>1</v>
      </c>
      <c r="P52">
        <v>5</v>
      </c>
      <c r="Q52">
        <v>0.2</v>
      </c>
      <c r="R52">
        <v>10</v>
      </c>
      <c r="S52">
        <v>10</v>
      </c>
      <c r="T52">
        <v>1</v>
      </c>
      <c r="U52">
        <v>0</v>
      </c>
      <c r="V52">
        <v>2</v>
      </c>
      <c r="W52">
        <v>2</v>
      </c>
      <c r="X52">
        <v>4</v>
      </c>
      <c r="Y52">
        <v>0</v>
      </c>
      <c r="Z52">
        <v>0</v>
      </c>
      <c r="AA52">
        <v>0</v>
      </c>
      <c r="AB52">
        <v>1</v>
      </c>
      <c r="AC52">
        <v>19</v>
      </c>
      <c r="AD52">
        <v>14.5</v>
      </c>
      <c r="AE52">
        <v>10</v>
      </c>
      <c r="AF52" t="s">
        <v>4</v>
      </c>
    </row>
    <row r="53" spans="1:32" x14ac:dyDescent="0.2">
      <c r="A53">
        <v>59</v>
      </c>
      <c r="B53">
        <v>52</v>
      </c>
      <c r="C53" s="1">
        <v>44617</v>
      </c>
      <c r="D53" t="s">
        <v>128</v>
      </c>
      <c r="E53" t="s">
        <v>70</v>
      </c>
      <c r="F53" t="s">
        <v>3</v>
      </c>
      <c r="G53" t="s">
        <v>30</v>
      </c>
      <c r="H53" t="s">
        <v>0</v>
      </c>
      <c r="I53" t="s">
        <v>129</v>
      </c>
      <c r="J53">
        <v>1</v>
      </c>
      <c r="K53" t="s">
        <v>130</v>
      </c>
      <c r="L53">
        <v>12</v>
      </c>
      <c r="M53">
        <v>16</v>
      </c>
      <c r="N53">
        <v>0.75</v>
      </c>
      <c r="O53">
        <v>2</v>
      </c>
      <c r="P53">
        <v>3</v>
      </c>
      <c r="Q53">
        <v>0.66700000000000004</v>
      </c>
      <c r="R53">
        <v>2</v>
      </c>
      <c r="S53">
        <v>2</v>
      </c>
      <c r="T53">
        <v>1</v>
      </c>
      <c r="U53">
        <v>0</v>
      </c>
      <c r="V53">
        <v>2</v>
      </c>
      <c r="W53">
        <v>2</v>
      </c>
      <c r="X53">
        <v>2</v>
      </c>
      <c r="Y53">
        <v>4</v>
      </c>
      <c r="Z53">
        <v>0</v>
      </c>
      <c r="AA53">
        <v>1</v>
      </c>
      <c r="AB53">
        <v>4</v>
      </c>
      <c r="AC53">
        <v>28</v>
      </c>
      <c r="AD53">
        <v>25</v>
      </c>
      <c r="AE53">
        <v>25</v>
      </c>
      <c r="AF53" t="s">
        <v>4</v>
      </c>
    </row>
    <row r="54" spans="1:32" x14ac:dyDescent="0.2">
      <c r="A54">
        <v>60</v>
      </c>
      <c r="B54">
        <v>53</v>
      </c>
      <c r="C54" s="1">
        <v>44619</v>
      </c>
      <c r="D54" t="s">
        <v>125</v>
      </c>
      <c r="E54" t="s">
        <v>70</v>
      </c>
      <c r="F54" t="s">
        <v>3</v>
      </c>
      <c r="G54" t="s">
        <v>32</v>
      </c>
      <c r="H54" t="s">
        <v>0</v>
      </c>
      <c r="I54" t="s">
        <v>126</v>
      </c>
      <c r="J54">
        <v>1</v>
      </c>
      <c r="K54" t="s">
        <v>127</v>
      </c>
      <c r="L54">
        <v>8</v>
      </c>
      <c r="M54">
        <v>14</v>
      </c>
      <c r="N54">
        <v>0.57099999999999995</v>
      </c>
      <c r="O54">
        <v>3</v>
      </c>
      <c r="P54">
        <v>5</v>
      </c>
      <c r="Q54">
        <v>0.6</v>
      </c>
      <c r="R54">
        <v>2</v>
      </c>
      <c r="S54">
        <v>3</v>
      </c>
      <c r="T54">
        <v>0.66700000000000004</v>
      </c>
      <c r="U54">
        <v>0</v>
      </c>
      <c r="V54">
        <v>7</v>
      </c>
      <c r="W54">
        <v>7</v>
      </c>
      <c r="X54">
        <v>3</v>
      </c>
      <c r="Y54">
        <v>2</v>
      </c>
      <c r="Z54">
        <v>0</v>
      </c>
      <c r="AA54">
        <v>0</v>
      </c>
      <c r="AB54">
        <v>2</v>
      </c>
      <c r="AC54">
        <v>21</v>
      </c>
      <c r="AD54">
        <v>19.399999999999999</v>
      </c>
      <c r="AE54">
        <v>23</v>
      </c>
      <c r="AF54" t="s">
        <v>4</v>
      </c>
    </row>
    <row r="55" spans="1:32" x14ac:dyDescent="0.2">
      <c r="A55">
        <v>61</v>
      </c>
      <c r="B55">
        <v>54</v>
      </c>
      <c r="C55" s="1">
        <v>44622</v>
      </c>
      <c r="D55" t="s">
        <v>123</v>
      </c>
      <c r="E55" t="s">
        <v>70</v>
      </c>
      <c r="F55" t="s">
        <v>2</v>
      </c>
      <c r="G55" t="s">
        <v>32</v>
      </c>
      <c r="H55" t="s">
        <v>0</v>
      </c>
      <c r="I55" t="s">
        <v>115</v>
      </c>
      <c r="J55">
        <v>1</v>
      </c>
      <c r="K55" t="s">
        <v>124</v>
      </c>
      <c r="L55">
        <v>7</v>
      </c>
      <c r="M55">
        <v>12</v>
      </c>
      <c r="N55">
        <v>0.58299999999999996</v>
      </c>
      <c r="O55">
        <v>4</v>
      </c>
      <c r="P55">
        <v>6</v>
      </c>
      <c r="Q55">
        <v>0.66700000000000004</v>
      </c>
      <c r="R55">
        <v>7</v>
      </c>
      <c r="S55">
        <v>8</v>
      </c>
      <c r="T55">
        <v>0.875</v>
      </c>
      <c r="U55">
        <v>1</v>
      </c>
      <c r="V55">
        <v>3</v>
      </c>
      <c r="W55">
        <v>4</v>
      </c>
      <c r="X55">
        <v>3</v>
      </c>
      <c r="Y55">
        <v>0</v>
      </c>
      <c r="Z55">
        <v>0</v>
      </c>
      <c r="AA55">
        <v>0</v>
      </c>
      <c r="AB55">
        <v>2</v>
      </c>
      <c r="AC55">
        <v>25</v>
      </c>
      <c r="AD55">
        <v>21.9</v>
      </c>
      <c r="AE55">
        <v>22</v>
      </c>
      <c r="AF55" t="s">
        <v>4</v>
      </c>
    </row>
    <row r="56" spans="1:32" x14ac:dyDescent="0.2">
      <c r="A56">
        <v>62</v>
      </c>
      <c r="B56">
        <v>55</v>
      </c>
      <c r="C56" s="1">
        <v>44624</v>
      </c>
      <c r="D56" t="s">
        <v>120</v>
      </c>
      <c r="E56" t="s">
        <v>70</v>
      </c>
      <c r="F56" t="s">
        <v>2</v>
      </c>
      <c r="G56" t="s">
        <v>19</v>
      </c>
      <c r="H56" t="s">
        <v>1</v>
      </c>
      <c r="I56" t="s">
        <v>121</v>
      </c>
      <c r="J56">
        <v>1</v>
      </c>
      <c r="K56" t="s">
        <v>122</v>
      </c>
      <c r="L56">
        <v>10</v>
      </c>
      <c r="M56">
        <v>15</v>
      </c>
      <c r="N56">
        <v>0.66700000000000004</v>
      </c>
      <c r="O56">
        <v>5</v>
      </c>
      <c r="P56">
        <v>6</v>
      </c>
      <c r="Q56">
        <v>0.83299999999999996</v>
      </c>
      <c r="R56">
        <v>8</v>
      </c>
      <c r="S56">
        <v>9</v>
      </c>
      <c r="T56">
        <v>0.88900000000000001</v>
      </c>
      <c r="U56">
        <v>0</v>
      </c>
      <c r="V56">
        <v>4</v>
      </c>
      <c r="W56">
        <v>4</v>
      </c>
      <c r="X56">
        <v>5</v>
      </c>
      <c r="Y56">
        <v>2</v>
      </c>
      <c r="Z56">
        <v>1</v>
      </c>
      <c r="AA56">
        <v>3</v>
      </c>
      <c r="AB56">
        <v>3</v>
      </c>
      <c r="AC56">
        <v>33</v>
      </c>
      <c r="AD56">
        <v>29.3</v>
      </c>
      <c r="AE56">
        <v>-3</v>
      </c>
      <c r="AF56" t="s">
        <v>4</v>
      </c>
    </row>
    <row r="57" spans="1:32" x14ac:dyDescent="0.2">
      <c r="A57">
        <v>63</v>
      </c>
      <c r="B57">
        <v>56</v>
      </c>
      <c r="C57" s="1">
        <v>44625</v>
      </c>
      <c r="D57" t="s">
        <v>117</v>
      </c>
      <c r="E57" t="s">
        <v>70</v>
      </c>
      <c r="F57" t="s">
        <v>3</v>
      </c>
      <c r="G57" t="s">
        <v>28</v>
      </c>
      <c r="H57" t="s">
        <v>1</v>
      </c>
      <c r="I57" t="s">
        <v>118</v>
      </c>
      <c r="J57">
        <v>1</v>
      </c>
      <c r="K57" t="s">
        <v>119</v>
      </c>
      <c r="L57">
        <v>7</v>
      </c>
      <c r="M57">
        <v>14</v>
      </c>
      <c r="N57">
        <v>0.5</v>
      </c>
      <c r="O57">
        <v>3</v>
      </c>
      <c r="P57">
        <v>6</v>
      </c>
      <c r="Q57">
        <v>0.5</v>
      </c>
      <c r="R57">
        <v>0</v>
      </c>
      <c r="S57">
        <v>2</v>
      </c>
      <c r="T57">
        <v>0</v>
      </c>
      <c r="U57">
        <v>0</v>
      </c>
      <c r="V57">
        <v>2</v>
      </c>
      <c r="W57">
        <v>2</v>
      </c>
      <c r="X57">
        <v>1</v>
      </c>
      <c r="Y57">
        <v>1</v>
      </c>
      <c r="Z57">
        <v>0</v>
      </c>
      <c r="AA57">
        <v>2</v>
      </c>
      <c r="AB57">
        <v>1</v>
      </c>
      <c r="AC57">
        <v>17</v>
      </c>
      <c r="AD57">
        <v>9.1</v>
      </c>
      <c r="AE57">
        <v>-22</v>
      </c>
      <c r="AF57" t="s">
        <v>12</v>
      </c>
    </row>
    <row r="58" spans="1:32" x14ac:dyDescent="0.2">
      <c r="A58">
        <v>64</v>
      </c>
      <c r="B58">
        <v>57</v>
      </c>
      <c r="C58" s="1">
        <v>44627</v>
      </c>
      <c r="D58" t="s">
        <v>114</v>
      </c>
      <c r="E58" t="s">
        <v>70</v>
      </c>
      <c r="F58" t="s">
        <v>2</v>
      </c>
      <c r="G58" t="s">
        <v>16</v>
      </c>
      <c r="H58" t="s">
        <v>1</v>
      </c>
      <c r="I58" t="s">
        <v>115</v>
      </c>
      <c r="J58">
        <v>1</v>
      </c>
      <c r="K58" t="s">
        <v>116</v>
      </c>
      <c r="L58">
        <v>6</v>
      </c>
      <c r="M58">
        <v>13</v>
      </c>
      <c r="N58">
        <v>0.46200000000000002</v>
      </c>
      <c r="O58">
        <v>2</v>
      </c>
      <c r="P58">
        <v>5</v>
      </c>
      <c r="Q58">
        <v>0.4</v>
      </c>
      <c r="R58">
        <v>3</v>
      </c>
      <c r="S58">
        <v>3</v>
      </c>
      <c r="T58">
        <v>1</v>
      </c>
      <c r="U58">
        <v>0</v>
      </c>
      <c r="V58">
        <v>1</v>
      </c>
      <c r="W58">
        <v>1</v>
      </c>
      <c r="X58">
        <v>4</v>
      </c>
      <c r="Y58">
        <v>1</v>
      </c>
      <c r="Z58">
        <v>0</v>
      </c>
      <c r="AA58">
        <v>1</v>
      </c>
      <c r="AB58">
        <v>2</v>
      </c>
      <c r="AC58">
        <v>17</v>
      </c>
      <c r="AD58">
        <v>12.6</v>
      </c>
      <c r="AE58">
        <v>11</v>
      </c>
      <c r="AF58" t="s">
        <v>4</v>
      </c>
    </row>
    <row r="59" spans="1:32" x14ac:dyDescent="0.2">
      <c r="A59">
        <v>65</v>
      </c>
      <c r="B59">
        <v>58</v>
      </c>
      <c r="C59" s="1">
        <v>44630</v>
      </c>
      <c r="D59" t="s">
        <v>111</v>
      </c>
      <c r="E59" t="s">
        <v>70</v>
      </c>
      <c r="F59" t="s">
        <v>2</v>
      </c>
      <c r="G59" t="s">
        <v>15</v>
      </c>
      <c r="H59" t="s">
        <v>0</v>
      </c>
      <c r="I59" t="s">
        <v>112</v>
      </c>
      <c r="J59">
        <v>1</v>
      </c>
      <c r="K59" t="s">
        <v>113</v>
      </c>
      <c r="L59">
        <v>2</v>
      </c>
      <c r="M59">
        <v>7</v>
      </c>
      <c r="N59">
        <v>0.28599999999999998</v>
      </c>
      <c r="O59">
        <v>0</v>
      </c>
      <c r="P59">
        <v>2</v>
      </c>
      <c r="Q59">
        <v>0</v>
      </c>
      <c r="R59">
        <v>0</v>
      </c>
      <c r="S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1</v>
      </c>
      <c r="AC59">
        <v>4</v>
      </c>
      <c r="AD59">
        <v>0.5</v>
      </c>
      <c r="AE59">
        <v>-26</v>
      </c>
      <c r="AF59" t="s">
        <v>12</v>
      </c>
    </row>
    <row r="60" spans="1:32" x14ac:dyDescent="0.2">
      <c r="A60">
        <v>66</v>
      </c>
      <c r="B60">
        <v>59</v>
      </c>
      <c r="C60" s="1">
        <v>44633</v>
      </c>
      <c r="D60" t="s">
        <v>108</v>
      </c>
      <c r="E60" t="s">
        <v>70</v>
      </c>
      <c r="F60" t="s">
        <v>3</v>
      </c>
      <c r="G60" t="s">
        <v>34</v>
      </c>
      <c r="H60" t="s">
        <v>0</v>
      </c>
      <c r="I60" t="s">
        <v>109</v>
      </c>
      <c r="J60">
        <v>1</v>
      </c>
      <c r="K60" t="s">
        <v>110</v>
      </c>
      <c r="L60">
        <v>4</v>
      </c>
      <c r="M60">
        <v>10</v>
      </c>
      <c r="N60">
        <v>0.4</v>
      </c>
      <c r="O60">
        <v>1</v>
      </c>
      <c r="P60">
        <v>6</v>
      </c>
      <c r="Q60">
        <v>0.16700000000000001</v>
      </c>
      <c r="R60">
        <v>1</v>
      </c>
      <c r="S60">
        <v>2</v>
      </c>
      <c r="T60">
        <v>0.5</v>
      </c>
      <c r="U60">
        <v>0</v>
      </c>
      <c r="V60">
        <v>2</v>
      </c>
      <c r="W60">
        <v>2</v>
      </c>
      <c r="X60">
        <v>5</v>
      </c>
      <c r="Y60">
        <v>1</v>
      </c>
      <c r="Z60">
        <v>0</v>
      </c>
      <c r="AA60">
        <v>1</v>
      </c>
      <c r="AB60">
        <v>5</v>
      </c>
      <c r="AC60">
        <v>10</v>
      </c>
      <c r="AD60">
        <v>6.3</v>
      </c>
      <c r="AE60">
        <v>15</v>
      </c>
      <c r="AF60" t="s">
        <v>4</v>
      </c>
    </row>
    <row r="61" spans="1:32" x14ac:dyDescent="0.2">
      <c r="A61">
        <v>67</v>
      </c>
      <c r="B61">
        <v>60</v>
      </c>
      <c r="C61" s="1">
        <v>44634</v>
      </c>
      <c r="D61" t="s">
        <v>105</v>
      </c>
      <c r="E61" t="s">
        <v>70</v>
      </c>
      <c r="F61" t="s">
        <v>2</v>
      </c>
      <c r="G61" t="s">
        <v>20</v>
      </c>
      <c r="H61" t="s">
        <v>0</v>
      </c>
      <c r="I61" t="s">
        <v>106</v>
      </c>
      <c r="J61">
        <v>1</v>
      </c>
      <c r="K61" t="s">
        <v>107</v>
      </c>
      <c r="L61">
        <v>7</v>
      </c>
      <c r="M61">
        <v>13</v>
      </c>
      <c r="N61">
        <v>0.53800000000000003</v>
      </c>
      <c r="O61">
        <v>2</v>
      </c>
      <c r="P61">
        <v>6</v>
      </c>
      <c r="Q61">
        <v>0.33300000000000002</v>
      </c>
      <c r="R61">
        <v>3</v>
      </c>
      <c r="S61">
        <v>4</v>
      </c>
      <c r="T61">
        <v>0.75</v>
      </c>
      <c r="U61">
        <v>0</v>
      </c>
      <c r="V61">
        <v>3</v>
      </c>
      <c r="W61">
        <v>3</v>
      </c>
      <c r="X61">
        <v>3</v>
      </c>
      <c r="Y61">
        <v>0</v>
      </c>
      <c r="Z61">
        <v>0</v>
      </c>
      <c r="AA61">
        <v>0</v>
      </c>
      <c r="AB61">
        <v>2</v>
      </c>
      <c r="AC61">
        <v>19</v>
      </c>
      <c r="AD61">
        <v>14.5</v>
      </c>
      <c r="AE61">
        <v>1</v>
      </c>
      <c r="AF61" t="s">
        <v>12</v>
      </c>
    </row>
    <row r="62" spans="1:32" x14ac:dyDescent="0.2">
      <c r="A62">
        <v>68</v>
      </c>
      <c r="B62">
        <v>61</v>
      </c>
      <c r="C62" s="1">
        <v>44636</v>
      </c>
      <c r="D62" t="s">
        <v>103</v>
      </c>
      <c r="E62" t="s">
        <v>70</v>
      </c>
      <c r="F62" t="s">
        <v>3</v>
      </c>
      <c r="G62" t="s">
        <v>19</v>
      </c>
      <c r="H62" t="s">
        <v>1</v>
      </c>
      <c r="I62" t="s">
        <v>74</v>
      </c>
      <c r="J62">
        <v>1</v>
      </c>
      <c r="K62" t="s">
        <v>104</v>
      </c>
      <c r="L62">
        <v>9</v>
      </c>
      <c r="M62">
        <v>15</v>
      </c>
      <c r="N62">
        <v>0.6</v>
      </c>
      <c r="O62">
        <v>3</v>
      </c>
      <c r="P62">
        <v>6</v>
      </c>
      <c r="Q62">
        <v>0.5</v>
      </c>
      <c r="R62">
        <v>4</v>
      </c>
      <c r="S62">
        <v>4</v>
      </c>
      <c r="T62">
        <v>1</v>
      </c>
      <c r="U62">
        <v>0</v>
      </c>
      <c r="V62">
        <v>2</v>
      </c>
      <c r="W62">
        <v>2</v>
      </c>
      <c r="X62">
        <v>2</v>
      </c>
      <c r="Y62">
        <v>0</v>
      </c>
      <c r="Z62">
        <v>0</v>
      </c>
      <c r="AA62">
        <v>1</v>
      </c>
      <c r="AB62">
        <v>3</v>
      </c>
      <c r="AC62">
        <v>25</v>
      </c>
      <c r="AD62">
        <v>17.899999999999999</v>
      </c>
      <c r="AE62">
        <v>-1</v>
      </c>
      <c r="AF62" t="s">
        <v>4</v>
      </c>
    </row>
    <row r="63" spans="1:32" x14ac:dyDescent="0.2">
      <c r="A63">
        <v>69</v>
      </c>
      <c r="B63">
        <v>62</v>
      </c>
      <c r="C63" s="1">
        <v>44638</v>
      </c>
      <c r="D63" t="s">
        <v>100</v>
      </c>
      <c r="E63" t="s">
        <v>70</v>
      </c>
      <c r="F63" t="s">
        <v>2</v>
      </c>
      <c r="G63" t="s">
        <v>18</v>
      </c>
      <c r="H63" t="s">
        <v>0</v>
      </c>
      <c r="I63" t="s">
        <v>101</v>
      </c>
      <c r="J63">
        <v>1</v>
      </c>
      <c r="K63" t="s">
        <v>102</v>
      </c>
      <c r="L63">
        <v>3</v>
      </c>
      <c r="M63">
        <v>9</v>
      </c>
      <c r="N63">
        <v>0.33300000000000002</v>
      </c>
      <c r="O63">
        <v>2</v>
      </c>
      <c r="P63">
        <v>5</v>
      </c>
      <c r="Q63">
        <v>0.4</v>
      </c>
      <c r="R63">
        <v>0</v>
      </c>
      <c r="S63">
        <v>0</v>
      </c>
      <c r="U63">
        <v>1</v>
      </c>
      <c r="V63">
        <v>1</v>
      </c>
      <c r="W63">
        <v>2</v>
      </c>
      <c r="X63">
        <v>3</v>
      </c>
      <c r="Y63">
        <v>0</v>
      </c>
      <c r="Z63">
        <v>0</v>
      </c>
      <c r="AA63">
        <v>0</v>
      </c>
      <c r="AB63">
        <v>1</v>
      </c>
      <c r="AC63">
        <v>8</v>
      </c>
      <c r="AD63">
        <v>5.6</v>
      </c>
      <c r="AE63">
        <v>3</v>
      </c>
      <c r="AF63" t="s">
        <v>4</v>
      </c>
    </row>
    <row r="64" spans="1:32" x14ac:dyDescent="0.2">
      <c r="A64">
        <v>70</v>
      </c>
      <c r="B64">
        <v>63</v>
      </c>
      <c r="C64" s="1">
        <v>44640</v>
      </c>
      <c r="D64" t="s">
        <v>97</v>
      </c>
      <c r="E64" t="s">
        <v>70</v>
      </c>
      <c r="F64" t="s">
        <v>2</v>
      </c>
      <c r="G64" t="s">
        <v>39</v>
      </c>
      <c r="H64" t="s">
        <v>0</v>
      </c>
      <c r="I64" t="s">
        <v>98</v>
      </c>
      <c r="J64">
        <v>1</v>
      </c>
      <c r="K64" t="s">
        <v>99</v>
      </c>
      <c r="L64">
        <v>8</v>
      </c>
      <c r="M64">
        <v>14</v>
      </c>
      <c r="N64">
        <v>0.57099999999999995</v>
      </c>
      <c r="O64">
        <v>2</v>
      </c>
      <c r="P64">
        <v>4</v>
      </c>
      <c r="Q64">
        <v>0.5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4</v>
      </c>
      <c r="Y64">
        <v>0</v>
      </c>
      <c r="Z64">
        <v>0</v>
      </c>
      <c r="AA64">
        <v>1</v>
      </c>
      <c r="AB64">
        <v>3</v>
      </c>
      <c r="AC64">
        <v>19</v>
      </c>
      <c r="AD64">
        <v>13.3</v>
      </c>
      <c r="AE64">
        <v>10</v>
      </c>
      <c r="AF64" t="s">
        <v>12</v>
      </c>
    </row>
    <row r="65" spans="1:32" x14ac:dyDescent="0.2">
      <c r="A65">
        <v>71</v>
      </c>
      <c r="B65">
        <v>64</v>
      </c>
      <c r="C65" s="1">
        <v>44641</v>
      </c>
      <c r="D65" t="s">
        <v>94</v>
      </c>
      <c r="E65" t="s">
        <v>70</v>
      </c>
      <c r="F65" t="s">
        <v>2</v>
      </c>
      <c r="G65" t="s">
        <v>28</v>
      </c>
      <c r="H65" t="s">
        <v>1</v>
      </c>
      <c r="I65" t="s">
        <v>95</v>
      </c>
      <c r="J65">
        <v>1</v>
      </c>
      <c r="K65" t="s">
        <v>96</v>
      </c>
      <c r="L65">
        <v>9</v>
      </c>
      <c r="M65">
        <v>15</v>
      </c>
      <c r="N65">
        <v>0.6</v>
      </c>
      <c r="O65">
        <v>3</v>
      </c>
      <c r="P65">
        <v>7</v>
      </c>
      <c r="Q65">
        <v>0.42899999999999999</v>
      </c>
      <c r="R65">
        <v>7</v>
      </c>
      <c r="S65">
        <v>7</v>
      </c>
      <c r="T65">
        <v>1</v>
      </c>
      <c r="U65">
        <v>1</v>
      </c>
      <c r="V65">
        <v>4</v>
      </c>
      <c r="W65">
        <v>5</v>
      </c>
      <c r="X65">
        <v>4</v>
      </c>
      <c r="Y65">
        <v>0</v>
      </c>
      <c r="Z65">
        <v>1</v>
      </c>
      <c r="AA65">
        <v>3</v>
      </c>
      <c r="AB65">
        <v>4</v>
      </c>
      <c r="AC65">
        <v>28</v>
      </c>
      <c r="AD65">
        <v>21.9</v>
      </c>
      <c r="AE65">
        <v>5</v>
      </c>
      <c r="AF65" t="s">
        <v>4</v>
      </c>
    </row>
    <row r="66" spans="1:32" x14ac:dyDescent="0.2">
      <c r="A66">
        <v>72</v>
      </c>
      <c r="B66">
        <v>65</v>
      </c>
      <c r="C66" s="1">
        <v>44643</v>
      </c>
      <c r="D66" t="s">
        <v>91</v>
      </c>
      <c r="E66" t="s">
        <v>70</v>
      </c>
      <c r="F66" t="s">
        <v>3</v>
      </c>
      <c r="G66" t="s">
        <v>26</v>
      </c>
      <c r="H66" t="s">
        <v>0</v>
      </c>
      <c r="I66" t="s">
        <v>92</v>
      </c>
      <c r="J66">
        <v>1</v>
      </c>
      <c r="K66" t="s">
        <v>93</v>
      </c>
      <c r="L66">
        <v>8</v>
      </c>
      <c r="M66">
        <v>14</v>
      </c>
      <c r="N66">
        <v>0.57099999999999995</v>
      </c>
      <c r="O66">
        <v>3</v>
      </c>
      <c r="P66">
        <v>5</v>
      </c>
      <c r="Q66">
        <v>0.6</v>
      </c>
      <c r="R66">
        <v>2</v>
      </c>
      <c r="S66">
        <v>2</v>
      </c>
      <c r="T66">
        <v>1</v>
      </c>
      <c r="U66">
        <v>1</v>
      </c>
      <c r="V66">
        <v>4</v>
      </c>
      <c r="W66">
        <v>5</v>
      </c>
      <c r="X66">
        <v>7</v>
      </c>
      <c r="Y66">
        <v>1</v>
      </c>
      <c r="Z66">
        <v>0</v>
      </c>
      <c r="AA66">
        <v>1</v>
      </c>
      <c r="AB66">
        <v>0</v>
      </c>
      <c r="AC66">
        <v>21</v>
      </c>
      <c r="AD66">
        <v>21.2</v>
      </c>
      <c r="AE66">
        <v>17</v>
      </c>
      <c r="AF66" t="s">
        <v>4</v>
      </c>
    </row>
    <row r="67" spans="1:32" x14ac:dyDescent="0.2">
      <c r="A67">
        <v>73</v>
      </c>
      <c r="B67">
        <v>66</v>
      </c>
      <c r="C67" s="1">
        <v>44645</v>
      </c>
      <c r="D67" t="s">
        <v>88</v>
      </c>
      <c r="E67" t="s">
        <v>70</v>
      </c>
      <c r="F67" t="s">
        <v>3</v>
      </c>
      <c r="G67" t="s">
        <v>25</v>
      </c>
      <c r="H67" t="s">
        <v>0</v>
      </c>
      <c r="I67" t="s">
        <v>89</v>
      </c>
      <c r="J67">
        <v>1</v>
      </c>
      <c r="K67" t="s">
        <v>90</v>
      </c>
      <c r="L67">
        <v>4</v>
      </c>
      <c r="M67">
        <v>11</v>
      </c>
      <c r="N67">
        <v>0.36399999999999999</v>
      </c>
      <c r="O67">
        <v>2</v>
      </c>
      <c r="P67">
        <v>3</v>
      </c>
      <c r="Q67">
        <v>0.66700000000000004</v>
      </c>
      <c r="R67">
        <v>1</v>
      </c>
      <c r="S67">
        <v>3</v>
      </c>
      <c r="T67">
        <v>0.33300000000000002</v>
      </c>
      <c r="U67">
        <v>2</v>
      </c>
      <c r="V67">
        <v>3</v>
      </c>
      <c r="W67">
        <v>5</v>
      </c>
      <c r="X67">
        <v>1</v>
      </c>
      <c r="Y67">
        <v>2</v>
      </c>
      <c r="Z67">
        <v>2</v>
      </c>
      <c r="AA67">
        <v>1</v>
      </c>
      <c r="AB67">
        <v>1</v>
      </c>
      <c r="AC67">
        <v>11</v>
      </c>
      <c r="AD67">
        <v>9.1</v>
      </c>
      <c r="AE67">
        <v>14</v>
      </c>
      <c r="AF67" t="s">
        <v>4</v>
      </c>
    </row>
    <row r="68" spans="1:32" x14ac:dyDescent="0.2">
      <c r="A68">
        <v>74</v>
      </c>
      <c r="B68">
        <v>67</v>
      </c>
      <c r="C68" s="1">
        <v>44647</v>
      </c>
      <c r="D68" t="s">
        <v>85</v>
      </c>
      <c r="E68" t="s">
        <v>70</v>
      </c>
      <c r="F68" t="s">
        <v>3</v>
      </c>
      <c r="G68" t="s">
        <v>35</v>
      </c>
      <c r="H68" t="s">
        <v>1</v>
      </c>
      <c r="I68" t="s">
        <v>86</v>
      </c>
      <c r="J68">
        <v>1</v>
      </c>
      <c r="K68" t="s">
        <v>87</v>
      </c>
      <c r="L68">
        <v>7</v>
      </c>
      <c r="M68">
        <v>21</v>
      </c>
      <c r="N68">
        <v>0.33300000000000002</v>
      </c>
      <c r="O68">
        <v>3</v>
      </c>
      <c r="P68">
        <v>10</v>
      </c>
      <c r="Q68">
        <v>0.3</v>
      </c>
      <c r="R68">
        <v>1</v>
      </c>
      <c r="S68">
        <v>2</v>
      </c>
      <c r="T68">
        <v>0.5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2</v>
      </c>
      <c r="AC68">
        <v>18</v>
      </c>
      <c r="AD68">
        <v>7</v>
      </c>
      <c r="AE68">
        <v>-25</v>
      </c>
      <c r="AF68" t="s">
        <v>12</v>
      </c>
    </row>
    <row r="69" spans="1:32" x14ac:dyDescent="0.2">
      <c r="A69">
        <v>75</v>
      </c>
      <c r="B69">
        <v>68</v>
      </c>
      <c r="C69" s="1">
        <v>44649</v>
      </c>
      <c r="D69" t="s">
        <v>82</v>
      </c>
      <c r="E69" t="s">
        <v>70</v>
      </c>
      <c r="F69" t="s">
        <v>2</v>
      </c>
      <c r="G69" t="s">
        <v>29</v>
      </c>
      <c r="H69" t="s">
        <v>1</v>
      </c>
      <c r="I69" t="s">
        <v>83</v>
      </c>
      <c r="J69">
        <v>1</v>
      </c>
      <c r="K69" t="s">
        <v>84</v>
      </c>
      <c r="L69">
        <v>3</v>
      </c>
      <c r="M69">
        <v>11</v>
      </c>
      <c r="N69">
        <v>0.27300000000000002</v>
      </c>
      <c r="O69">
        <v>1</v>
      </c>
      <c r="P69">
        <v>4</v>
      </c>
      <c r="Q69">
        <v>0.25</v>
      </c>
      <c r="R69">
        <v>0</v>
      </c>
      <c r="S69">
        <v>0</v>
      </c>
      <c r="U69">
        <v>0</v>
      </c>
      <c r="V69">
        <v>1</v>
      </c>
      <c r="W69">
        <v>1</v>
      </c>
      <c r="X69">
        <v>6</v>
      </c>
      <c r="Y69">
        <v>0</v>
      </c>
      <c r="Z69">
        <v>0</v>
      </c>
      <c r="AA69">
        <v>0</v>
      </c>
      <c r="AB69">
        <v>1</v>
      </c>
      <c r="AC69">
        <v>7</v>
      </c>
      <c r="AD69">
        <v>4.5999999999999996</v>
      </c>
      <c r="AE69">
        <v>-6</v>
      </c>
      <c r="AF69" t="s">
        <v>12</v>
      </c>
    </row>
    <row r="70" spans="1:32" x14ac:dyDescent="0.2">
      <c r="A70">
        <v>76</v>
      </c>
      <c r="B70">
        <v>69</v>
      </c>
      <c r="C70" s="1">
        <v>44651</v>
      </c>
      <c r="D70" t="s">
        <v>79</v>
      </c>
      <c r="E70" t="s">
        <v>70</v>
      </c>
      <c r="F70" t="s">
        <v>3</v>
      </c>
      <c r="G70" t="s">
        <v>21</v>
      </c>
      <c r="H70" t="s">
        <v>0</v>
      </c>
      <c r="I70" t="s">
        <v>80</v>
      </c>
      <c r="J70">
        <v>1</v>
      </c>
      <c r="K70" t="s">
        <v>81</v>
      </c>
      <c r="L70">
        <v>5</v>
      </c>
      <c r="M70">
        <v>10</v>
      </c>
      <c r="N70">
        <v>0.5</v>
      </c>
      <c r="O70">
        <v>1</v>
      </c>
      <c r="P70">
        <v>3</v>
      </c>
      <c r="Q70">
        <v>0.33300000000000002</v>
      </c>
      <c r="R70">
        <v>2</v>
      </c>
      <c r="S70">
        <v>2</v>
      </c>
      <c r="T70">
        <v>1</v>
      </c>
      <c r="U70">
        <v>0</v>
      </c>
      <c r="V70">
        <v>2</v>
      </c>
      <c r="W70">
        <v>2</v>
      </c>
      <c r="X70">
        <v>2</v>
      </c>
      <c r="Y70">
        <v>0</v>
      </c>
      <c r="Z70">
        <v>0</v>
      </c>
      <c r="AA70">
        <v>2</v>
      </c>
      <c r="AB70">
        <v>2</v>
      </c>
      <c r="AC70">
        <v>13</v>
      </c>
      <c r="AD70">
        <v>7.2</v>
      </c>
      <c r="AE70">
        <v>-8</v>
      </c>
      <c r="AF70" t="s">
        <v>12</v>
      </c>
    </row>
    <row r="71" spans="1:32" x14ac:dyDescent="0.2">
      <c r="A71">
        <v>77</v>
      </c>
      <c r="B71">
        <v>70</v>
      </c>
      <c r="C71" s="1">
        <v>44653</v>
      </c>
      <c r="D71" t="s">
        <v>76</v>
      </c>
      <c r="E71" t="s">
        <v>70</v>
      </c>
      <c r="F71" t="s">
        <v>2</v>
      </c>
      <c r="G71" t="s">
        <v>17</v>
      </c>
      <c r="H71" t="s">
        <v>0</v>
      </c>
      <c r="I71" t="s">
        <v>77</v>
      </c>
      <c r="J71">
        <v>1</v>
      </c>
      <c r="K71" t="s">
        <v>78</v>
      </c>
      <c r="L71">
        <v>7</v>
      </c>
      <c r="M71">
        <v>12</v>
      </c>
      <c r="N71">
        <v>0.58299999999999996</v>
      </c>
      <c r="O71">
        <v>3</v>
      </c>
      <c r="P71">
        <v>5</v>
      </c>
      <c r="Q71">
        <v>0.6</v>
      </c>
      <c r="R71">
        <v>2</v>
      </c>
      <c r="S71">
        <v>2</v>
      </c>
      <c r="T71">
        <v>1</v>
      </c>
      <c r="U71">
        <v>1</v>
      </c>
      <c r="V71">
        <v>1</v>
      </c>
      <c r="W71">
        <v>2</v>
      </c>
      <c r="X71">
        <v>4</v>
      </c>
      <c r="Y71">
        <v>2</v>
      </c>
      <c r="Z71">
        <v>0</v>
      </c>
      <c r="AA71">
        <v>0</v>
      </c>
      <c r="AB71">
        <v>1</v>
      </c>
      <c r="AC71">
        <v>19</v>
      </c>
      <c r="AD71">
        <v>18.8</v>
      </c>
      <c r="AE71">
        <v>21</v>
      </c>
      <c r="AF71" t="s">
        <v>4</v>
      </c>
    </row>
    <row r="72" spans="1:32" x14ac:dyDescent="0.2">
      <c r="A72">
        <v>78</v>
      </c>
      <c r="B72">
        <v>71</v>
      </c>
      <c r="C72" s="1">
        <v>44654</v>
      </c>
      <c r="D72" t="s">
        <v>73</v>
      </c>
      <c r="E72" t="s">
        <v>70</v>
      </c>
      <c r="F72" t="s">
        <v>3</v>
      </c>
      <c r="G72" t="s">
        <v>19</v>
      </c>
      <c r="H72" t="s">
        <v>1</v>
      </c>
      <c r="I72" t="s">
        <v>74</v>
      </c>
      <c r="J72">
        <v>1</v>
      </c>
      <c r="K72" t="s">
        <v>75</v>
      </c>
      <c r="L72">
        <v>4</v>
      </c>
      <c r="M72">
        <v>11</v>
      </c>
      <c r="N72">
        <v>0.36399999999999999</v>
      </c>
      <c r="O72">
        <v>2</v>
      </c>
      <c r="P72">
        <v>4</v>
      </c>
      <c r="Q72">
        <v>0.5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3</v>
      </c>
      <c r="Y72">
        <v>1</v>
      </c>
      <c r="Z72">
        <v>0</v>
      </c>
      <c r="AA72">
        <v>3</v>
      </c>
      <c r="AB72">
        <v>4</v>
      </c>
      <c r="AC72">
        <v>11</v>
      </c>
      <c r="AD72">
        <v>3.4</v>
      </c>
      <c r="AE72">
        <v>5</v>
      </c>
      <c r="AF72" t="s">
        <v>4</v>
      </c>
    </row>
    <row r="73" spans="1:32" x14ac:dyDescent="0.2">
      <c r="A73">
        <v>79</v>
      </c>
      <c r="B73">
        <v>72</v>
      </c>
      <c r="C73" s="1">
        <v>44656</v>
      </c>
      <c r="D73" t="s">
        <v>69</v>
      </c>
      <c r="E73" t="s">
        <v>70</v>
      </c>
      <c r="F73" t="s">
        <v>3</v>
      </c>
      <c r="G73" t="s">
        <v>24</v>
      </c>
      <c r="H73" t="s">
        <v>0</v>
      </c>
      <c r="I73" t="s">
        <v>71</v>
      </c>
      <c r="J73">
        <v>1</v>
      </c>
      <c r="K73" t="s">
        <v>72</v>
      </c>
      <c r="L73">
        <v>9</v>
      </c>
      <c r="M73">
        <v>12</v>
      </c>
      <c r="N73">
        <v>0.75</v>
      </c>
      <c r="O73">
        <v>8</v>
      </c>
      <c r="P73">
        <v>11</v>
      </c>
      <c r="Q73">
        <v>0.72699999999999998</v>
      </c>
      <c r="R73">
        <v>4</v>
      </c>
      <c r="S73">
        <v>4</v>
      </c>
      <c r="T73">
        <v>1</v>
      </c>
      <c r="U73">
        <v>0</v>
      </c>
      <c r="V73">
        <v>3</v>
      </c>
      <c r="W73">
        <v>3</v>
      </c>
      <c r="X73">
        <v>7</v>
      </c>
      <c r="Y73">
        <v>1</v>
      </c>
      <c r="Z73">
        <v>1</v>
      </c>
      <c r="AA73">
        <v>3</v>
      </c>
      <c r="AB73">
        <v>1</v>
      </c>
      <c r="AC73">
        <v>30</v>
      </c>
      <c r="AD73">
        <v>29.3</v>
      </c>
      <c r="AE73">
        <v>15</v>
      </c>
      <c r="AF73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BD4A-C2AA-45F4-985B-9346F79590F3}">
  <dimension ref="A1:AF134"/>
  <sheetViews>
    <sheetView workbookViewId="0">
      <selection activeCell="I33" sqref="I33"/>
    </sheetView>
  </sheetViews>
  <sheetFormatPr baseColWidth="10" defaultColWidth="8.83203125" defaultRowHeight="15" x14ac:dyDescent="0.2"/>
  <cols>
    <col min="1" max="1" width="5.5" bestFit="1" customWidth="1"/>
    <col min="2" max="2" width="4.6640625" bestFit="1" customWidth="1"/>
    <col min="3" max="3" width="10.6640625" bestFit="1" customWidth="1"/>
    <col min="4" max="4" width="6.6640625" bestFit="1" customWidth="1"/>
    <col min="5" max="5" width="6" bestFit="1" customWidth="1"/>
    <col min="6" max="6" width="15.1640625" bestFit="1" customWidth="1"/>
    <col min="7" max="7" width="7" bestFit="1" customWidth="1"/>
    <col min="8" max="8" width="18.5" bestFit="1" customWidth="1"/>
    <col min="9" max="9" width="14.1640625" bestFit="1" customWidth="1"/>
    <col min="10" max="10" width="5.6640625" bestFit="1" customWidth="1"/>
    <col min="11" max="11" width="6.33203125" bestFit="1" customWidth="1"/>
    <col min="12" max="12" width="5.6640625" bestFit="1" customWidth="1"/>
    <col min="13" max="13" width="7" bestFit="1" customWidth="1"/>
    <col min="14" max="14" width="7.33203125" bestFit="1" customWidth="1"/>
    <col min="15" max="15" width="5.5" bestFit="1" customWidth="1"/>
    <col min="16" max="16" width="6.6640625" bestFit="1" customWidth="1"/>
    <col min="17" max="17" width="7" bestFit="1" customWidth="1"/>
    <col min="18" max="18" width="5.33203125" bestFit="1" customWidth="1"/>
    <col min="19" max="19" width="6.5" bestFit="1" customWidth="1"/>
    <col min="20" max="20" width="6.83203125" bestFit="1" customWidth="1"/>
    <col min="21" max="21" width="7" bestFit="1" customWidth="1"/>
    <col min="22" max="22" width="6.83203125" bestFit="1" customWidth="1"/>
    <col min="23" max="24" width="6.5" bestFit="1" customWidth="1"/>
    <col min="25" max="25" width="6.1640625" bestFit="1" customWidth="1"/>
    <col min="26" max="26" width="6.5" bestFit="1" customWidth="1"/>
    <col min="27" max="27" width="7" bestFit="1" customWidth="1"/>
    <col min="28" max="28" width="5.5" bestFit="1" customWidth="1"/>
    <col min="29" max="29" width="6.5" bestFit="1" customWidth="1"/>
    <col min="30" max="30" width="8.33203125" bestFit="1" customWidth="1"/>
    <col min="31" max="31" width="5.83203125" bestFit="1" customWidth="1"/>
    <col min="32" max="32" width="12.83203125" bestFit="1" customWidth="1"/>
  </cols>
  <sheetData>
    <row r="1" spans="1:32" x14ac:dyDescent="0.2">
      <c r="A1" t="s">
        <v>42</v>
      </c>
      <c r="B1" t="s">
        <v>43</v>
      </c>
      <c r="C1" t="s">
        <v>6</v>
      </c>
      <c r="D1" t="s">
        <v>44</v>
      </c>
      <c r="E1" t="s">
        <v>45</v>
      </c>
      <c r="F1" t="s">
        <v>8</v>
      </c>
      <c r="G1" t="s">
        <v>11</v>
      </c>
      <c r="H1" t="s">
        <v>7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5</v>
      </c>
    </row>
    <row r="2" spans="1:32" x14ac:dyDescent="0.2">
      <c r="A2">
        <v>79</v>
      </c>
      <c r="B2">
        <v>72</v>
      </c>
      <c r="C2" s="1">
        <v>44656</v>
      </c>
      <c r="D2" t="s">
        <v>69</v>
      </c>
      <c r="E2" t="s">
        <v>70</v>
      </c>
      <c r="F2" t="s">
        <v>3</v>
      </c>
      <c r="G2" t="s">
        <v>24</v>
      </c>
      <c r="H2" t="s">
        <v>0</v>
      </c>
      <c r="I2" t="s">
        <v>71</v>
      </c>
      <c r="J2">
        <v>1</v>
      </c>
      <c r="K2" t="s">
        <v>72</v>
      </c>
      <c r="L2">
        <v>9</v>
      </c>
      <c r="M2">
        <v>12</v>
      </c>
      <c r="N2">
        <v>0.75</v>
      </c>
      <c r="O2">
        <v>8</v>
      </c>
      <c r="P2">
        <v>11</v>
      </c>
      <c r="Q2">
        <v>0.72699999999999998</v>
      </c>
      <c r="R2">
        <v>4</v>
      </c>
      <c r="S2">
        <v>4</v>
      </c>
      <c r="T2">
        <v>1</v>
      </c>
      <c r="U2">
        <v>0</v>
      </c>
      <c r="V2">
        <v>3</v>
      </c>
      <c r="W2">
        <v>3</v>
      </c>
      <c r="X2">
        <v>7</v>
      </c>
      <c r="Y2">
        <v>1</v>
      </c>
      <c r="Z2">
        <v>1</v>
      </c>
      <c r="AA2">
        <v>3</v>
      </c>
      <c r="AB2">
        <v>1</v>
      </c>
      <c r="AC2">
        <v>30</v>
      </c>
      <c r="AD2">
        <v>29.3</v>
      </c>
      <c r="AE2">
        <v>15</v>
      </c>
      <c r="AF2" t="s">
        <v>4</v>
      </c>
    </row>
    <row r="3" spans="1:32" x14ac:dyDescent="0.2">
      <c r="A3">
        <v>78</v>
      </c>
      <c r="B3">
        <v>71</v>
      </c>
      <c r="C3" s="1">
        <v>44654</v>
      </c>
      <c r="D3" t="s">
        <v>73</v>
      </c>
      <c r="E3" t="s">
        <v>70</v>
      </c>
      <c r="F3" t="s">
        <v>3</v>
      </c>
      <c r="G3" t="s">
        <v>19</v>
      </c>
      <c r="H3" t="s">
        <v>1</v>
      </c>
      <c r="I3" t="s">
        <v>74</v>
      </c>
      <c r="J3">
        <v>1</v>
      </c>
      <c r="K3" t="s">
        <v>75</v>
      </c>
      <c r="L3">
        <v>4</v>
      </c>
      <c r="M3">
        <v>11</v>
      </c>
      <c r="N3">
        <v>0.36399999999999999</v>
      </c>
      <c r="O3">
        <v>2</v>
      </c>
      <c r="P3">
        <v>4</v>
      </c>
      <c r="Q3">
        <v>0.5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3</v>
      </c>
      <c r="Y3">
        <v>1</v>
      </c>
      <c r="Z3">
        <v>0</v>
      </c>
      <c r="AA3">
        <v>3</v>
      </c>
      <c r="AB3">
        <v>4</v>
      </c>
      <c r="AC3">
        <v>11</v>
      </c>
      <c r="AD3">
        <v>3.4</v>
      </c>
      <c r="AE3">
        <v>5</v>
      </c>
      <c r="AF3" t="s">
        <v>4</v>
      </c>
    </row>
    <row r="4" spans="1:32" x14ac:dyDescent="0.2">
      <c r="A4">
        <v>77</v>
      </c>
      <c r="B4">
        <v>70</v>
      </c>
      <c r="C4" s="1">
        <v>44653</v>
      </c>
      <c r="D4" t="s">
        <v>76</v>
      </c>
      <c r="E4" t="s">
        <v>70</v>
      </c>
      <c r="F4" t="s">
        <v>2</v>
      </c>
      <c r="G4" t="s">
        <v>17</v>
      </c>
      <c r="H4" t="s">
        <v>0</v>
      </c>
      <c r="I4" t="s">
        <v>77</v>
      </c>
      <c r="J4">
        <v>1</v>
      </c>
      <c r="K4" t="s">
        <v>78</v>
      </c>
      <c r="L4">
        <v>7</v>
      </c>
      <c r="M4">
        <v>12</v>
      </c>
      <c r="N4">
        <v>0.58299999999999996</v>
      </c>
      <c r="O4">
        <v>3</v>
      </c>
      <c r="P4">
        <v>5</v>
      </c>
      <c r="Q4">
        <v>0.6</v>
      </c>
      <c r="R4">
        <v>2</v>
      </c>
      <c r="S4">
        <v>2</v>
      </c>
      <c r="T4">
        <v>1</v>
      </c>
      <c r="U4">
        <v>1</v>
      </c>
      <c r="V4">
        <v>1</v>
      </c>
      <c r="W4">
        <v>2</v>
      </c>
      <c r="X4">
        <v>4</v>
      </c>
      <c r="Y4">
        <v>2</v>
      </c>
      <c r="Z4">
        <v>0</v>
      </c>
      <c r="AA4">
        <v>0</v>
      </c>
      <c r="AB4">
        <v>1</v>
      </c>
      <c r="AC4">
        <v>19</v>
      </c>
      <c r="AD4">
        <v>18.8</v>
      </c>
      <c r="AE4">
        <v>21</v>
      </c>
      <c r="AF4" t="s">
        <v>4</v>
      </c>
    </row>
    <row r="5" spans="1:32" x14ac:dyDescent="0.2">
      <c r="A5">
        <v>76</v>
      </c>
      <c r="B5">
        <v>69</v>
      </c>
      <c r="C5" s="1">
        <v>44651</v>
      </c>
      <c r="D5" t="s">
        <v>79</v>
      </c>
      <c r="E5" t="s">
        <v>70</v>
      </c>
      <c r="F5" t="s">
        <v>3</v>
      </c>
      <c r="G5" t="s">
        <v>21</v>
      </c>
      <c r="H5" t="s">
        <v>0</v>
      </c>
      <c r="I5" t="s">
        <v>80</v>
      </c>
      <c r="J5">
        <v>1</v>
      </c>
      <c r="K5" t="s">
        <v>81</v>
      </c>
      <c r="L5">
        <v>5</v>
      </c>
      <c r="M5">
        <v>10</v>
      </c>
      <c r="N5">
        <v>0.5</v>
      </c>
      <c r="O5">
        <v>1</v>
      </c>
      <c r="P5">
        <v>3</v>
      </c>
      <c r="Q5">
        <v>0.33300000000000002</v>
      </c>
      <c r="R5">
        <v>2</v>
      </c>
      <c r="S5">
        <v>2</v>
      </c>
      <c r="T5">
        <v>1</v>
      </c>
      <c r="U5">
        <v>0</v>
      </c>
      <c r="V5">
        <v>2</v>
      </c>
      <c r="W5">
        <v>2</v>
      </c>
      <c r="X5">
        <v>2</v>
      </c>
      <c r="Y5">
        <v>0</v>
      </c>
      <c r="Z5">
        <v>0</v>
      </c>
      <c r="AA5">
        <v>2</v>
      </c>
      <c r="AB5">
        <v>2</v>
      </c>
      <c r="AC5">
        <v>13</v>
      </c>
      <c r="AD5">
        <v>7.2</v>
      </c>
      <c r="AE5">
        <v>-8</v>
      </c>
      <c r="AF5" t="s">
        <v>12</v>
      </c>
    </row>
    <row r="6" spans="1:32" x14ac:dyDescent="0.2">
      <c r="A6">
        <v>75</v>
      </c>
      <c r="B6">
        <v>68</v>
      </c>
      <c r="C6" s="1">
        <v>44649</v>
      </c>
      <c r="D6" t="s">
        <v>82</v>
      </c>
      <c r="E6" t="s">
        <v>70</v>
      </c>
      <c r="F6" t="s">
        <v>2</v>
      </c>
      <c r="G6" t="s">
        <v>29</v>
      </c>
      <c r="H6" t="s">
        <v>1</v>
      </c>
      <c r="I6" t="s">
        <v>83</v>
      </c>
      <c r="J6">
        <v>1</v>
      </c>
      <c r="K6" t="s">
        <v>84</v>
      </c>
      <c r="L6">
        <v>3</v>
      </c>
      <c r="M6">
        <v>11</v>
      </c>
      <c r="N6">
        <v>0.27300000000000002</v>
      </c>
      <c r="O6">
        <v>1</v>
      </c>
      <c r="P6">
        <v>4</v>
      </c>
      <c r="Q6">
        <v>0.25</v>
      </c>
      <c r="R6">
        <v>0</v>
      </c>
      <c r="S6">
        <v>0</v>
      </c>
      <c r="U6">
        <v>0</v>
      </c>
      <c r="V6">
        <v>1</v>
      </c>
      <c r="W6">
        <v>1</v>
      </c>
      <c r="X6">
        <v>6</v>
      </c>
      <c r="Y6">
        <v>0</v>
      </c>
      <c r="Z6">
        <v>0</v>
      </c>
      <c r="AA6">
        <v>0</v>
      </c>
      <c r="AB6">
        <v>1</v>
      </c>
      <c r="AC6">
        <v>7</v>
      </c>
      <c r="AD6">
        <v>4.5999999999999996</v>
      </c>
      <c r="AE6">
        <v>-6</v>
      </c>
      <c r="AF6" t="s">
        <v>12</v>
      </c>
    </row>
    <row r="7" spans="1:32" x14ac:dyDescent="0.2">
      <c r="A7">
        <v>74</v>
      </c>
      <c r="B7">
        <v>67</v>
      </c>
      <c r="C7" s="1">
        <v>44647</v>
      </c>
      <c r="D7" t="s">
        <v>85</v>
      </c>
      <c r="E7" t="s">
        <v>70</v>
      </c>
      <c r="F7" t="s">
        <v>3</v>
      </c>
      <c r="G7" t="s">
        <v>35</v>
      </c>
      <c r="H7" t="s">
        <v>1</v>
      </c>
      <c r="I7" t="s">
        <v>86</v>
      </c>
      <c r="J7">
        <v>1</v>
      </c>
      <c r="K7" t="s">
        <v>87</v>
      </c>
      <c r="L7">
        <v>7</v>
      </c>
      <c r="M7">
        <v>21</v>
      </c>
      <c r="N7">
        <v>0.33300000000000002</v>
      </c>
      <c r="O7">
        <v>3</v>
      </c>
      <c r="P7">
        <v>10</v>
      </c>
      <c r="Q7">
        <v>0.3</v>
      </c>
      <c r="R7">
        <v>1</v>
      </c>
      <c r="S7">
        <v>2</v>
      </c>
      <c r="T7">
        <v>0.5</v>
      </c>
      <c r="U7">
        <v>0</v>
      </c>
      <c r="V7">
        <v>0</v>
      </c>
      <c r="W7">
        <v>0</v>
      </c>
      <c r="X7">
        <v>3</v>
      </c>
      <c r="Y7">
        <v>0</v>
      </c>
      <c r="Z7">
        <v>0</v>
      </c>
      <c r="AA7">
        <v>0</v>
      </c>
      <c r="AB7">
        <v>2</v>
      </c>
      <c r="AC7">
        <v>18</v>
      </c>
      <c r="AD7">
        <v>7</v>
      </c>
      <c r="AE7">
        <v>-25</v>
      </c>
      <c r="AF7" t="s">
        <v>12</v>
      </c>
    </row>
    <row r="8" spans="1:32" x14ac:dyDescent="0.2">
      <c r="A8">
        <v>73</v>
      </c>
      <c r="B8">
        <v>66</v>
      </c>
      <c r="C8" s="1">
        <v>44645</v>
      </c>
      <c r="D8" t="s">
        <v>88</v>
      </c>
      <c r="E8" t="s">
        <v>70</v>
      </c>
      <c r="F8" t="s">
        <v>3</v>
      </c>
      <c r="G8" t="s">
        <v>25</v>
      </c>
      <c r="H8" t="s">
        <v>0</v>
      </c>
      <c r="I8" t="s">
        <v>89</v>
      </c>
      <c r="J8">
        <v>1</v>
      </c>
      <c r="K8" t="s">
        <v>90</v>
      </c>
      <c r="L8">
        <v>4</v>
      </c>
      <c r="M8">
        <v>11</v>
      </c>
      <c r="N8">
        <v>0.36399999999999999</v>
      </c>
      <c r="O8">
        <v>2</v>
      </c>
      <c r="P8">
        <v>3</v>
      </c>
      <c r="Q8">
        <v>0.66700000000000004</v>
      </c>
      <c r="R8">
        <v>1</v>
      </c>
      <c r="S8">
        <v>3</v>
      </c>
      <c r="T8">
        <v>0.33300000000000002</v>
      </c>
      <c r="U8">
        <v>2</v>
      </c>
      <c r="V8">
        <v>3</v>
      </c>
      <c r="W8">
        <v>5</v>
      </c>
      <c r="X8">
        <v>1</v>
      </c>
      <c r="Y8">
        <v>2</v>
      </c>
      <c r="Z8">
        <v>2</v>
      </c>
      <c r="AA8">
        <v>1</v>
      </c>
      <c r="AB8">
        <v>1</v>
      </c>
      <c r="AC8">
        <v>11</v>
      </c>
      <c r="AD8">
        <v>9.1</v>
      </c>
      <c r="AE8">
        <v>14</v>
      </c>
      <c r="AF8" t="s">
        <v>4</v>
      </c>
    </row>
    <row r="9" spans="1:32" x14ac:dyDescent="0.2">
      <c r="A9">
        <v>72</v>
      </c>
      <c r="B9">
        <v>65</v>
      </c>
      <c r="C9" s="1">
        <v>44643</v>
      </c>
      <c r="D9" t="s">
        <v>91</v>
      </c>
      <c r="E9" t="s">
        <v>70</v>
      </c>
      <c r="F9" t="s">
        <v>3</v>
      </c>
      <c r="G9" t="s">
        <v>26</v>
      </c>
      <c r="H9" t="s">
        <v>0</v>
      </c>
      <c r="I9" t="s">
        <v>92</v>
      </c>
      <c r="J9">
        <v>1</v>
      </c>
      <c r="K9" t="s">
        <v>93</v>
      </c>
      <c r="L9">
        <v>8</v>
      </c>
      <c r="M9">
        <v>14</v>
      </c>
      <c r="N9">
        <v>0.57099999999999995</v>
      </c>
      <c r="O9">
        <v>3</v>
      </c>
      <c r="P9">
        <v>5</v>
      </c>
      <c r="Q9">
        <v>0.6</v>
      </c>
      <c r="R9">
        <v>2</v>
      </c>
      <c r="S9">
        <v>2</v>
      </c>
      <c r="T9">
        <v>1</v>
      </c>
      <c r="U9">
        <v>1</v>
      </c>
      <c r="V9">
        <v>4</v>
      </c>
      <c r="W9">
        <v>5</v>
      </c>
      <c r="X9">
        <v>7</v>
      </c>
      <c r="Y9">
        <v>1</v>
      </c>
      <c r="Z9">
        <v>0</v>
      </c>
      <c r="AA9">
        <v>1</v>
      </c>
      <c r="AB9">
        <v>0</v>
      </c>
      <c r="AC9">
        <v>21</v>
      </c>
      <c r="AD9">
        <v>21.2</v>
      </c>
      <c r="AE9">
        <v>17</v>
      </c>
      <c r="AF9" t="s">
        <v>4</v>
      </c>
    </row>
    <row r="10" spans="1:32" x14ac:dyDescent="0.2">
      <c r="A10">
        <v>71</v>
      </c>
      <c r="B10">
        <v>64</v>
      </c>
      <c r="C10" s="1">
        <v>44641</v>
      </c>
      <c r="D10" t="s">
        <v>94</v>
      </c>
      <c r="E10" t="s">
        <v>70</v>
      </c>
      <c r="F10" t="s">
        <v>2</v>
      </c>
      <c r="G10" t="s">
        <v>28</v>
      </c>
      <c r="H10" t="s">
        <v>1</v>
      </c>
      <c r="I10" t="s">
        <v>95</v>
      </c>
      <c r="J10">
        <v>1</v>
      </c>
      <c r="K10" t="s">
        <v>96</v>
      </c>
      <c r="L10">
        <v>9</v>
      </c>
      <c r="M10">
        <v>15</v>
      </c>
      <c r="N10">
        <v>0.6</v>
      </c>
      <c r="O10">
        <v>3</v>
      </c>
      <c r="P10">
        <v>7</v>
      </c>
      <c r="Q10">
        <v>0.42899999999999999</v>
      </c>
      <c r="R10">
        <v>7</v>
      </c>
      <c r="S10">
        <v>7</v>
      </c>
      <c r="T10">
        <v>1</v>
      </c>
      <c r="U10">
        <v>1</v>
      </c>
      <c r="V10">
        <v>4</v>
      </c>
      <c r="W10">
        <v>5</v>
      </c>
      <c r="X10">
        <v>4</v>
      </c>
      <c r="Y10">
        <v>0</v>
      </c>
      <c r="Z10">
        <v>1</v>
      </c>
      <c r="AA10">
        <v>3</v>
      </c>
      <c r="AB10">
        <v>4</v>
      </c>
      <c r="AC10">
        <v>28</v>
      </c>
      <c r="AD10">
        <v>21.9</v>
      </c>
      <c r="AE10">
        <v>5</v>
      </c>
      <c r="AF10" t="s">
        <v>4</v>
      </c>
    </row>
    <row r="11" spans="1:32" x14ac:dyDescent="0.2">
      <c r="A11">
        <v>70</v>
      </c>
      <c r="B11">
        <v>63</v>
      </c>
      <c r="C11" s="1">
        <v>44640</v>
      </c>
      <c r="D11" t="s">
        <v>97</v>
      </c>
      <c r="E11" t="s">
        <v>70</v>
      </c>
      <c r="F11" t="s">
        <v>2</v>
      </c>
      <c r="G11" t="s">
        <v>39</v>
      </c>
      <c r="H11" t="s">
        <v>0</v>
      </c>
      <c r="I11" t="s">
        <v>98</v>
      </c>
      <c r="J11">
        <v>1</v>
      </c>
      <c r="K11" t="s">
        <v>99</v>
      </c>
      <c r="L11">
        <v>8</v>
      </c>
      <c r="M11">
        <v>14</v>
      </c>
      <c r="N11">
        <v>0.57099999999999995</v>
      </c>
      <c r="O11">
        <v>2</v>
      </c>
      <c r="P11">
        <v>4</v>
      </c>
      <c r="Q11">
        <v>0.5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4</v>
      </c>
      <c r="Y11">
        <v>0</v>
      </c>
      <c r="Z11">
        <v>0</v>
      </c>
      <c r="AA11">
        <v>1</v>
      </c>
      <c r="AB11">
        <v>3</v>
      </c>
      <c r="AC11">
        <v>19</v>
      </c>
      <c r="AD11">
        <v>13.3</v>
      </c>
      <c r="AE11">
        <v>10</v>
      </c>
      <c r="AF11" t="s">
        <v>12</v>
      </c>
    </row>
    <row r="12" spans="1:32" x14ac:dyDescent="0.2">
      <c r="A12">
        <v>69</v>
      </c>
      <c r="B12">
        <v>62</v>
      </c>
      <c r="C12" s="1">
        <v>44638</v>
      </c>
      <c r="D12" t="s">
        <v>100</v>
      </c>
      <c r="E12" t="s">
        <v>70</v>
      </c>
      <c r="F12" t="s">
        <v>2</v>
      </c>
      <c r="G12" t="s">
        <v>18</v>
      </c>
      <c r="H12" t="s">
        <v>0</v>
      </c>
      <c r="I12" t="s">
        <v>101</v>
      </c>
      <c r="J12">
        <v>1</v>
      </c>
      <c r="K12" t="s">
        <v>102</v>
      </c>
      <c r="L12">
        <v>3</v>
      </c>
      <c r="M12">
        <v>9</v>
      </c>
      <c r="N12">
        <v>0.33300000000000002</v>
      </c>
      <c r="O12">
        <v>2</v>
      </c>
      <c r="P12">
        <v>5</v>
      </c>
      <c r="Q12">
        <v>0.4</v>
      </c>
      <c r="R12">
        <v>0</v>
      </c>
      <c r="S12">
        <v>0</v>
      </c>
      <c r="U12">
        <v>1</v>
      </c>
      <c r="V12">
        <v>1</v>
      </c>
      <c r="W12">
        <v>2</v>
      </c>
      <c r="X12">
        <v>3</v>
      </c>
      <c r="Y12">
        <v>0</v>
      </c>
      <c r="Z12">
        <v>0</v>
      </c>
      <c r="AA12">
        <v>0</v>
      </c>
      <c r="AB12">
        <v>1</v>
      </c>
      <c r="AC12">
        <v>8</v>
      </c>
      <c r="AD12">
        <v>5.6</v>
      </c>
      <c r="AE12">
        <v>3</v>
      </c>
      <c r="AF12" t="s">
        <v>4</v>
      </c>
    </row>
    <row r="13" spans="1:32" x14ac:dyDescent="0.2">
      <c r="A13">
        <v>68</v>
      </c>
      <c r="B13">
        <v>61</v>
      </c>
      <c r="C13" s="1">
        <v>44636</v>
      </c>
      <c r="D13" t="s">
        <v>103</v>
      </c>
      <c r="E13" t="s">
        <v>70</v>
      </c>
      <c r="F13" t="s">
        <v>3</v>
      </c>
      <c r="G13" t="s">
        <v>19</v>
      </c>
      <c r="H13" t="s">
        <v>1</v>
      </c>
      <c r="I13" t="s">
        <v>74</v>
      </c>
      <c r="J13">
        <v>1</v>
      </c>
      <c r="K13" t="s">
        <v>104</v>
      </c>
      <c r="L13">
        <v>9</v>
      </c>
      <c r="M13">
        <v>15</v>
      </c>
      <c r="N13">
        <v>0.6</v>
      </c>
      <c r="O13">
        <v>3</v>
      </c>
      <c r="P13">
        <v>6</v>
      </c>
      <c r="Q13">
        <v>0.5</v>
      </c>
      <c r="R13">
        <v>4</v>
      </c>
      <c r="S13">
        <v>4</v>
      </c>
      <c r="T13">
        <v>1</v>
      </c>
      <c r="U13">
        <v>0</v>
      </c>
      <c r="V13">
        <v>2</v>
      </c>
      <c r="W13">
        <v>2</v>
      </c>
      <c r="X13">
        <v>2</v>
      </c>
      <c r="Y13">
        <v>0</v>
      </c>
      <c r="Z13">
        <v>0</v>
      </c>
      <c r="AA13">
        <v>1</v>
      </c>
      <c r="AB13">
        <v>3</v>
      </c>
      <c r="AC13">
        <v>25</v>
      </c>
      <c r="AD13">
        <v>17.899999999999999</v>
      </c>
      <c r="AE13">
        <v>-1</v>
      </c>
      <c r="AF13" t="s">
        <v>4</v>
      </c>
    </row>
    <row r="14" spans="1:32" x14ac:dyDescent="0.2">
      <c r="A14">
        <v>67</v>
      </c>
      <c r="B14">
        <v>60</v>
      </c>
      <c r="C14" s="1">
        <v>44634</v>
      </c>
      <c r="D14" t="s">
        <v>105</v>
      </c>
      <c r="E14" t="s">
        <v>70</v>
      </c>
      <c r="F14" t="s">
        <v>2</v>
      </c>
      <c r="G14" t="s">
        <v>20</v>
      </c>
      <c r="H14" t="s">
        <v>0</v>
      </c>
      <c r="I14" t="s">
        <v>106</v>
      </c>
      <c r="J14">
        <v>1</v>
      </c>
      <c r="K14" t="s">
        <v>107</v>
      </c>
      <c r="L14">
        <v>7</v>
      </c>
      <c r="M14">
        <v>13</v>
      </c>
      <c r="N14">
        <v>0.53800000000000003</v>
      </c>
      <c r="O14">
        <v>2</v>
      </c>
      <c r="P14">
        <v>6</v>
      </c>
      <c r="Q14">
        <v>0.33300000000000002</v>
      </c>
      <c r="R14">
        <v>3</v>
      </c>
      <c r="S14">
        <v>4</v>
      </c>
      <c r="T14">
        <v>0.75</v>
      </c>
      <c r="U14">
        <v>0</v>
      </c>
      <c r="V14">
        <v>3</v>
      </c>
      <c r="W14">
        <v>3</v>
      </c>
      <c r="X14">
        <v>3</v>
      </c>
      <c r="Y14">
        <v>0</v>
      </c>
      <c r="Z14">
        <v>0</v>
      </c>
      <c r="AA14">
        <v>0</v>
      </c>
      <c r="AB14">
        <v>2</v>
      </c>
      <c r="AC14">
        <v>19</v>
      </c>
      <c r="AD14">
        <v>14.5</v>
      </c>
      <c r="AE14">
        <v>1</v>
      </c>
      <c r="AF14" t="s">
        <v>12</v>
      </c>
    </row>
    <row r="15" spans="1:32" x14ac:dyDescent="0.2">
      <c r="A15">
        <v>66</v>
      </c>
      <c r="B15">
        <v>59</v>
      </c>
      <c r="C15" s="1">
        <v>44633</v>
      </c>
      <c r="D15" t="s">
        <v>108</v>
      </c>
      <c r="E15" t="s">
        <v>70</v>
      </c>
      <c r="F15" t="s">
        <v>3</v>
      </c>
      <c r="G15" t="s">
        <v>34</v>
      </c>
      <c r="H15" t="s">
        <v>0</v>
      </c>
      <c r="I15" t="s">
        <v>109</v>
      </c>
      <c r="J15">
        <v>1</v>
      </c>
      <c r="K15" t="s">
        <v>110</v>
      </c>
      <c r="L15">
        <v>4</v>
      </c>
      <c r="M15">
        <v>10</v>
      </c>
      <c r="N15">
        <v>0.4</v>
      </c>
      <c r="O15">
        <v>1</v>
      </c>
      <c r="P15">
        <v>6</v>
      </c>
      <c r="Q15">
        <v>0.16700000000000001</v>
      </c>
      <c r="R15">
        <v>1</v>
      </c>
      <c r="S15">
        <v>2</v>
      </c>
      <c r="T15">
        <v>0.5</v>
      </c>
      <c r="U15">
        <v>0</v>
      </c>
      <c r="V15">
        <v>2</v>
      </c>
      <c r="W15">
        <v>2</v>
      </c>
      <c r="X15">
        <v>5</v>
      </c>
      <c r="Y15">
        <v>1</v>
      </c>
      <c r="Z15">
        <v>0</v>
      </c>
      <c r="AA15">
        <v>1</v>
      </c>
      <c r="AB15">
        <v>5</v>
      </c>
      <c r="AC15">
        <v>10</v>
      </c>
      <c r="AD15">
        <v>6.3</v>
      </c>
      <c r="AE15">
        <v>15</v>
      </c>
      <c r="AF15" t="s">
        <v>4</v>
      </c>
    </row>
    <row r="16" spans="1:32" x14ac:dyDescent="0.2">
      <c r="A16">
        <v>65</v>
      </c>
      <c r="B16">
        <v>58</v>
      </c>
      <c r="C16" s="1">
        <v>44630</v>
      </c>
      <c r="D16" t="s">
        <v>111</v>
      </c>
      <c r="E16" t="s">
        <v>70</v>
      </c>
      <c r="F16" t="s">
        <v>2</v>
      </c>
      <c r="G16" t="s">
        <v>15</v>
      </c>
      <c r="H16" t="s">
        <v>0</v>
      </c>
      <c r="I16" t="s">
        <v>112</v>
      </c>
      <c r="J16">
        <v>1</v>
      </c>
      <c r="K16" t="s">
        <v>113</v>
      </c>
      <c r="L16">
        <v>2</v>
      </c>
      <c r="M16">
        <v>7</v>
      </c>
      <c r="N16">
        <v>0.28599999999999998</v>
      </c>
      <c r="O16">
        <v>0</v>
      </c>
      <c r="P16">
        <v>2</v>
      </c>
      <c r="Q16">
        <v>0</v>
      </c>
      <c r="R16">
        <v>0</v>
      </c>
      <c r="S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4</v>
      </c>
      <c r="AD16">
        <v>0.5</v>
      </c>
      <c r="AE16">
        <v>-26</v>
      </c>
      <c r="AF16" t="s">
        <v>12</v>
      </c>
    </row>
    <row r="17" spans="1:32" x14ac:dyDescent="0.2">
      <c r="A17">
        <v>64</v>
      </c>
      <c r="B17">
        <v>57</v>
      </c>
      <c r="C17" s="1">
        <v>44627</v>
      </c>
      <c r="D17" t="s">
        <v>114</v>
      </c>
      <c r="E17" t="s">
        <v>70</v>
      </c>
      <c r="F17" t="s">
        <v>2</v>
      </c>
      <c r="G17" t="s">
        <v>16</v>
      </c>
      <c r="H17" t="s">
        <v>1</v>
      </c>
      <c r="I17" t="s">
        <v>115</v>
      </c>
      <c r="J17">
        <v>1</v>
      </c>
      <c r="K17" t="s">
        <v>116</v>
      </c>
      <c r="L17">
        <v>6</v>
      </c>
      <c r="M17">
        <v>13</v>
      </c>
      <c r="N17">
        <v>0.46200000000000002</v>
      </c>
      <c r="O17">
        <v>2</v>
      </c>
      <c r="P17">
        <v>5</v>
      </c>
      <c r="Q17">
        <v>0.4</v>
      </c>
      <c r="R17">
        <v>3</v>
      </c>
      <c r="S17">
        <v>3</v>
      </c>
      <c r="T17">
        <v>1</v>
      </c>
      <c r="U17">
        <v>0</v>
      </c>
      <c r="V17">
        <v>1</v>
      </c>
      <c r="W17">
        <v>1</v>
      </c>
      <c r="X17">
        <v>4</v>
      </c>
      <c r="Y17">
        <v>1</v>
      </c>
      <c r="Z17">
        <v>0</v>
      </c>
      <c r="AA17">
        <v>1</v>
      </c>
      <c r="AB17">
        <v>2</v>
      </c>
      <c r="AC17">
        <v>17</v>
      </c>
      <c r="AD17">
        <v>12.6</v>
      </c>
      <c r="AE17">
        <v>11</v>
      </c>
      <c r="AF17" t="s">
        <v>4</v>
      </c>
    </row>
    <row r="18" spans="1:32" x14ac:dyDescent="0.2">
      <c r="A18">
        <v>63</v>
      </c>
      <c r="B18">
        <v>56</v>
      </c>
      <c r="C18" s="1">
        <v>44625</v>
      </c>
      <c r="D18" t="s">
        <v>117</v>
      </c>
      <c r="E18" t="s">
        <v>70</v>
      </c>
      <c r="F18" t="s">
        <v>3</v>
      </c>
      <c r="G18" t="s">
        <v>28</v>
      </c>
      <c r="H18" t="s">
        <v>1</v>
      </c>
      <c r="I18" t="s">
        <v>118</v>
      </c>
      <c r="J18">
        <v>1</v>
      </c>
      <c r="K18" t="s">
        <v>119</v>
      </c>
      <c r="L18">
        <v>7</v>
      </c>
      <c r="M18">
        <v>14</v>
      </c>
      <c r="N18">
        <v>0.5</v>
      </c>
      <c r="O18">
        <v>3</v>
      </c>
      <c r="P18">
        <v>6</v>
      </c>
      <c r="Q18">
        <v>0.5</v>
      </c>
      <c r="R18">
        <v>0</v>
      </c>
      <c r="S18">
        <v>2</v>
      </c>
      <c r="T18">
        <v>0</v>
      </c>
      <c r="U18">
        <v>0</v>
      </c>
      <c r="V18">
        <v>2</v>
      </c>
      <c r="W18">
        <v>2</v>
      </c>
      <c r="X18">
        <v>1</v>
      </c>
      <c r="Y18">
        <v>1</v>
      </c>
      <c r="Z18">
        <v>0</v>
      </c>
      <c r="AA18">
        <v>2</v>
      </c>
      <c r="AB18">
        <v>1</v>
      </c>
      <c r="AC18">
        <v>17</v>
      </c>
      <c r="AD18">
        <v>9.1</v>
      </c>
      <c r="AE18">
        <v>-22</v>
      </c>
      <c r="AF18" t="s">
        <v>12</v>
      </c>
    </row>
    <row r="19" spans="1:32" x14ac:dyDescent="0.2">
      <c r="A19">
        <v>62</v>
      </c>
      <c r="B19">
        <v>55</v>
      </c>
      <c r="C19" s="1">
        <v>44624</v>
      </c>
      <c r="D19" t="s">
        <v>120</v>
      </c>
      <c r="E19" t="s">
        <v>70</v>
      </c>
      <c r="F19" t="s">
        <v>2</v>
      </c>
      <c r="G19" t="s">
        <v>19</v>
      </c>
      <c r="H19" t="s">
        <v>1</v>
      </c>
      <c r="I19" t="s">
        <v>121</v>
      </c>
      <c r="J19">
        <v>1</v>
      </c>
      <c r="K19" t="s">
        <v>122</v>
      </c>
      <c r="L19">
        <v>10</v>
      </c>
      <c r="M19">
        <v>15</v>
      </c>
      <c r="N19">
        <v>0.66700000000000004</v>
      </c>
      <c r="O19">
        <v>5</v>
      </c>
      <c r="P19">
        <v>6</v>
      </c>
      <c r="Q19">
        <v>0.83299999999999996</v>
      </c>
      <c r="R19">
        <v>8</v>
      </c>
      <c r="S19">
        <v>9</v>
      </c>
      <c r="T19">
        <v>0.88900000000000001</v>
      </c>
      <c r="U19">
        <v>0</v>
      </c>
      <c r="V19">
        <v>4</v>
      </c>
      <c r="W19">
        <v>4</v>
      </c>
      <c r="X19">
        <v>5</v>
      </c>
      <c r="Y19">
        <v>2</v>
      </c>
      <c r="Z19">
        <v>1</v>
      </c>
      <c r="AA19">
        <v>3</v>
      </c>
      <c r="AB19">
        <v>3</v>
      </c>
      <c r="AC19">
        <v>33</v>
      </c>
      <c r="AD19">
        <v>29.3</v>
      </c>
      <c r="AE19">
        <v>-3</v>
      </c>
      <c r="AF19" t="s">
        <v>4</v>
      </c>
    </row>
    <row r="20" spans="1:32" x14ac:dyDescent="0.2">
      <c r="A20">
        <v>61</v>
      </c>
      <c r="B20">
        <v>54</v>
      </c>
      <c r="C20" s="1">
        <v>44622</v>
      </c>
      <c r="D20" t="s">
        <v>123</v>
      </c>
      <c r="E20" t="s">
        <v>70</v>
      </c>
      <c r="F20" t="s">
        <v>2</v>
      </c>
      <c r="G20" t="s">
        <v>32</v>
      </c>
      <c r="H20" t="s">
        <v>0</v>
      </c>
      <c r="I20" t="s">
        <v>115</v>
      </c>
      <c r="J20">
        <v>1</v>
      </c>
      <c r="K20" t="s">
        <v>124</v>
      </c>
      <c r="L20">
        <v>7</v>
      </c>
      <c r="M20">
        <v>12</v>
      </c>
      <c r="N20">
        <v>0.58299999999999996</v>
      </c>
      <c r="O20">
        <v>4</v>
      </c>
      <c r="P20">
        <v>6</v>
      </c>
      <c r="Q20">
        <v>0.66700000000000004</v>
      </c>
      <c r="R20">
        <v>7</v>
      </c>
      <c r="S20">
        <v>8</v>
      </c>
      <c r="T20">
        <v>0.875</v>
      </c>
      <c r="U20">
        <v>1</v>
      </c>
      <c r="V20">
        <v>3</v>
      </c>
      <c r="W20">
        <v>4</v>
      </c>
      <c r="X20">
        <v>3</v>
      </c>
      <c r="Y20">
        <v>0</v>
      </c>
      <c r="Z20">
        <v>0</v>
      </c>
      <c r="AA20">
        <v>0</v>
      </c>
      <c r="AB20">
        <v>2</v>
      </c>
      <c r="AC20">
        <v>25</v>
      </c>
      <c r="AD20">
        <v>21.9</v>
      </c>
      <c r="AE20">
        <v>22</v>
      </c>
      <c r="AF20" t="s">
        <v>4</v>
      </c>
    </row>
    <row r="21" spans="1:32" x14ac:dyDescent="0.2">
      <c r="A21">
        <v>60</v>
      </c>
      <c r="B21">
        <v>53</v>
      </c>
      <c r="C21" s="1">
        <v>44619</v>
      </c>
      <c r="D21" t="s">
        <v>125</v>
      </c>
      <c r="E21" t="s">
        <v>70</v>
      </c>
      <c r="F21" t="s">
        <v>3</v>
      </c>
      <c r="G21" t="s">
        <v>32</v>
      </c>
      <c r="H21" t="s">
        <v>0</v>
      </c>
      <c r="I21" t="s">
        <v>126</v>
      </c>
      <c r="J21">
        <v>1</v>
      </c>
      <c r="K21" t="s">
        <v>127</v>
      </c>
      <c r="L21">
        <v>8</v>
      </c>
      <c r="M21">
        <v>14</v>
      </c>
      <c r="N21">
        <v>0.57099999999999995</v>
      </c>
      <c r="O21">
        <v>3</v>
      </c>
      <c r="P21">
        <v>5</v>
      </c>
      <c r="Q21">
        <v>0.6</v>
      </c>
      <c r="R21">
        <v>2</v>
      </c>
      <c r="S21">
        <v>3</v>
      </c>
      <c r="T21">
        <v>0.66700000000000004</v>
      </c>
      <c r="U21">
        <v>0</v>
      </c>
      <c r="V21">
        <v>7</v>
      </c>
      <c r="W21">
        <v>7</v>
      </c>
      <c r="X21">
        <v>3</v>
      </c>
      <c r="Y21">
        <v>2</v>
      </c>
      <c r="Z21">
        <v>0</v>
      </c>
      <c r="AA21">
        <v>0</v>
      </c>
      <c r="AB21">
        <v>2</v>
      </c>
      <c r="AC21">
        <v>21</v>
      </c>
      <c r="AD21">
        <v>19.399999999999999</v>
      </c>
      <c r="AE21">
        <v>23</v>
      </c>
      <c r="AF21" t="s">
        <v>4</v>
      </c>
    </row>
    <row r="22" spans="1:32" x14ac:dyDescent="0.2">
      <c r="A22">
        <v>59</v>
      </c>
      <c r="B22">
        <v>52</v>
      </c>
      <c r="C22" s="1">
        <v>44617</v>
      </c>
      <c r="D22" t="s">
        <v>128</v>
      </c>
      <c r="E22" t="s">
        <v>70</v>
      </c>
      <c r="F22" t="s">
        <v>3</v>
      </c>
      <c r="G22" t="s">
        <v>30</v>
      </c>
      <c r="H22" t="s">
        <v>0</v>
      </c>
      <c r="I22" t="s">
        <v>129</v>
      </c>
      <c r="J22">
        <v>1</v>
      </c>
      <c r="K22" t="s">
        <v>130</v>
      </c>
      <c r="L22">
        <v>12</v>
      </c>
      <c r="M22">
        <v>16</v>
      </c>
      <c r="N22">
        <v>0.75</v>
      </c>
      <c r="O22">
        <v>2</v>
      </c>
      <c r="P22">
        <v>3</v>
      </c>
      <c r="Q22">
        <v>0.66700000000000004</v>
      </c>
      <c r="R22">
        <v>2</v>
      </c>
      <c r="S22">
        <v>2</v>
      </c>
      <c r="T22">
        <v>1</v>
      </c>
      <c r="U22">
        <v>0</v>
      </c>
      <c r="V22">
        <v>2</v>
      </c>
      <c r="W22">
        <v>2</v>
      </c>
      <c r="X22">
        <v>2</v>
      </c>
      <c r="Y22">
        <v>4</v>
      </c>
      <c r="Z22">
        <v>0</v>
      </c>
      <c r="AA22">
        <v>1</v>
      </c>
      <c r="AB22">
        <v>4</v>
      </c>
      <c r="AC22">
        <v>28</v>
      </c>
      <c r="AD22">
        <v>25</v>
      </c>
      <c r="AE22">
        <v>25</v>
      </c>
      <c r="AF22" t="s">
        <v>4</v>
      </c>
    </row>
    <row r="23" spans="1:32" x14ac:dyDescent="0.2">
      <c r="A23">
        <v>58</v>
      </c>
      <c r="B23">
        <v>51</v>
      </c>
      <c r="C23" s="1">
        <v>44609</v>
      </c>
      <c r="D23" t="s">
        <v>131</v>
      </c>
      <c r="E23" t="s">
        <v>70</v>
      </c>
      <c r="F23" t="s">
        <v>3</v>
      </c>
      <c r="G23" t="s">
        <v>29</v>
      </c>
      <c r="H23" t="s">
        <v>1</v>
      </c>
      <c r="I23" t="s">
        <v>132</v>
      </c>
      <c r="J23">
        <v>1</v>
      </c>
      <c r="K23" t="s">
        <v>133</v>
      </c>
      <c r="L23">
        <v>4</v>
      </c>
      <c r="M23">
        <v>13</v>
      </c>
      <c r="N23">
        <v>0.308</v>
      </c>
      <c r="O23">
        <v>1</v>
      </c>
      <c r="P23">
        <v>5</v>
      </c>
      <c r="Q23">
        <v>0.2</v>
      </c>
      <c r="R23">
        <v>10</v>
      </c>
      <c r="S23">
        <v>10</v>
      </c>
      <c r="T23">
        <v>1</v>
      </c>
      <c r="U23">
        <v>0</v>
      </c>
      <c r="V23">
        <v>2</v>
      </c>
      <c r="W23">
        <v>2</v>
      </c>
      <c r="X23">
        <v>4</v>
      </c>
      <c r="Y23">
        <v>0</v>
      </c>
      <c r="Z23">
        <v>0</v>
      </c>
      <c r="AA23">
        <v>0</v>
      </c>
      <c r="AB23">
        <v>1</v>
      </c>
      <c r="AC23">
        <v>19</v>
      </c>
      <c r="AD23">
        <v>14.5</v>
      </c>
      <c r="AE23">
        <v>10</v>
      </c>
      <c r="AF23" t="s">
        <v>4</v>
      </c>
    </row>
    <row r="24" spans="1:32" x14ac:dyDescent="0.2">
      <c r="A24">
        <v>57</v>
      </c>
      <c r="B24">
        <v>50</v>
      </c>
      <c r="C24" s="1">
        <v>44607</v>
      </c>
      <c r="D24" t="s">
        <v>134</v>
      </c>
      <c r="E24" t="s">
        <v>70</v>
      </c>
      <c r="F24" t="s">
        <v>2</v>
      </c>
      <c r="G24" t="s">
        <v>14</v>
      </c>
      <c r="H24" t="s">
        <v>0</v>
      </c>
      <c r="I24" t="s">
        <v>135</v>
      </c>
      <c r="J24">
        <v>1</v>
      </c>
      <c r="K24" t="s">
        <v>136</v>
      </c>
      <c r="L24">
        <v>3</v>
      </c>
      <c r="M24">
        <v>11</v>
      </c>
      <c r="N24">
        <v>0.27300000000000002</v>
      </c>
      <c r="O24">
        <v>1</v>
      </c>
      <c r="P24">
        <v>4</v>
      </c>
      <c r="Q24">
        <v>0.25</v>
      </c>
      <c r="R24">
        <v>4</v>
      </c>
      <c r="S24">
        <v>4</v>
      </c>
      <c r="T24">
        <v>1</v>
      </c>
      <c r="U24">
        <v>0</v>
      </c>
      <c r="V24">
        <v>2</v>
      </c>
      <c r="W24">
        <v>2</v>
      </c>
      <c r="X24">
        <v>1</v>
      </c>
      <c r="Y24">
        <v>0</v>
      </c>
      <c r="Z24">
        <v>0</v>
      </c>
      <c r="AA24">
        <v>1</v>
      </c>
      <c r="AB24">
        <v>1</v>
      </c>
      <c r="AC24">
        <v>11</v>
      </c>
      <c r="AD24">
        <v>4.4000000000000004</v>
      </c>
      <c r="AE24">
        <v>-34</v>
      </c>
      <c r="AF24" t="s">
        <v>12</v>
      </c>
    </row>
    <row r="25" spans="1:32" x14ac:dyDescent="0.2">
      <c r="A25">
        <v>56</v>
      </c>
      <c r="B25">
        <v>49</v>
      </c>
      <c r="C25" s="1">
        <v>44604</v>
      </c>
      <c r="D25" t="s">
        <v>137</v>
      </c>
      <c r="E25" t="s">
        <v>70</v>
      </c>
      <c r="F25" t="s">
        <v>2</v>
      </c>
      <c r="G25" t="s">
        <v>19</v>
      </c>
      <c r="H25" t="s">
        <v>1</v>
      </c>
      <c r="I25" t="s">
        <v>101</v>
      </c>
      <c r="J25">
        <v>1</v>
      </c>
      <c r="K25" t="s">
        <v>138</v>
      </c>
      <c r="L25">
        <v>6</v>
      </c>
      <c r="M25">
        <v>12</v>
      </c>
      <c r="N25">
        <v>0.5</v>
      </c>
      <c r="O25">
        <v>1</v>
      </c>
      <c r="P25">
        <v>3</v>
      </c>
      <c r="Q25">
        <v>0.33300000000000002</v>
      </c>
      <c r="R25">
        <v>3</v>
      </c>
      <c r="S25">
        <v>5</v>
      </c>
      <c r="T25">
        <v>0.6</v>
      </c>
      <c r="U25">
        <v>0</v>
      </c>
      <c r="V25">
        <v>2</v>
      </c>
      <c r="W25">
        <v>2</v>
      </c>
      <c r="X25">
        <v>2</v>
      </c>
      <c r="Y25">
        <v>1</v>
      </c>
      <c r="Z25">
        <v>0</v>
      </c>
      <c r="AA25">
        <v>1</v>
      </c>
      <c r="AB25">
        <v>0</v>
      </c>
      <c r="AC25">
        <v>16</v>
      </c>
      <c r="AD25">
        <v>11.2</v>
      </c>
      <c r="AE25">
        <v>19</v>
      </c>
      <c r="AF25" t="s">
        <v>4</v>
      </c>
    </row>
    <row r="26" spans="1:32" x14ac:dyDescent="0.2">
      <c r="A26">
        <v>55</v>
      </c>
      <c r="B26">
        <v>48</v>
      </c>
      <c r="C26" s="1">
        <v>44603</v>
      </c>
      <c r="D26" t="s">
        <v>139</v>
      </c>
      <c r="E26" t="s">
        <v>70</v>
      </c>
      <c r="F26" t="s">
        <v>2</v>
      </c>
      <c r="G26" t="s">
        <v>33</v>
      </c>
      <c r="H26" t="s">
        <v>0</v>
      </c>
      <c r="I26" t="s">
        <v>140</v>
      </c>
      <c r="J26">
        <v>1</v>
      </c>
      <c r="K26" t="s">
        <v>141</v>
      </c>
      <c r="L26">
        <v>9</v>
      </c>
      <c r="M26">
        <v>14</v>
      </c>
      <c r="N26">
        <v>0.64300000000000002</v>
      </c>
      <c r="O26">
        <v>2</v>
      </c>
      <c r="P26">
        <v>4</v>
      </c>
      <c r="Q26">
        <v>0.5</v>
      </c>
      <c r="R26">
        <v>4</v>
      </c>
      <c r="S26">
        <v>5</v>
      </c>
      <c r="T26">
        <v>0.8</v>
      </c>
      <c r="U26">
        <v>2</v>
      </c>
      <c r="V26">
        <v>3</v>
      </c>
      <c r="W26">
        <v>5</v>
      </c>
      <c r="X26">
        <v>2</v>
      </c>
      <c r="Y26">
        <v>0</v>
      </c>
      <c r="Z26">
        <v>0</v>
      </c>
      <c r="AA26">
        <v>1</v>
      </c>
      <c r="AB26">
        <v>2</v>
      </c>
      <c r="AC26">
        <v>24</v>
      </c>
      <c r="AD26">
        <v>19.3</v>
      </c>
      <c r="AE26">
        <v>20</v>
      </c>
      <c r="AF26" t="s">
        <v>4</v>
      </c>
    </row>
    <row r="27" spans="1:32" x14ac:dyDescent="0.2">
      <c r="A27">
        <v>54</v>
      </c>
      <c r="B27">
        <v>47</v>
      </c>
      <c r="C27" s="1">
        <v>44600</v>
      </c>
      <c r="D27" t="s">
        <v>142</v>
      </c>
      <c r="E27" t="s">
        <v>70</v>
      </c>
      <c r="F27" t="s">
        <v>2</v>
      </c>
      <c r="G27" t="s">
        <v>35</v>
      </c>
      <c r="H27" t="s">
        <v>1</v>
      </c>
      <c r="I27" t="s">
        <v>98</v>
      </c>
      <c r="J27">
        <v>1</v>
      </c>
      <c r="K27" t="s">
        <v>143</v>
      </c>
      <c r="L27">
        <v>5</v>
      </c>
      <c r="M27">
        <v>16</v>
      </c>
      <c r="N27">
        <v>0.313</v>
      </c>
      <c r="O27">
        <v>0</v>
      </c>
      <c r="P27">
        <v>4</v>
      </c>
      <c r="Q27">
        <v>0</v>
      </c>
      <c r="R27">
        <v>4</v>
      </c>
      <c r="S27">
        <v>4</v>
      </c>
      <c r="T27">
        <v>1</v>
      </c>
      <c r="U27">
        <v>0</v>
      </c>
      <c r="V27">
        <v>6</v>
      </c>
      <c r="W27">
        <v>6</v>
      </c>
      <c r="X27">
        <v>4</v>
      </c>
      <c r="Y27">
        <v>0</v>
      </c>
      <c r="Z27">
        <v>0</v>
      </c>
      <c r="AA27">
        <v>2</v>
      </c>
      <c r="AB27">
        <v>3</v>
      </c>
      <c r="AC27">
        <v>14</v>
      </c>
      <c r="AD27">
        <v>6.2</v>
      </c>
      <c r="AE27">
        <v>-1</v>
      </c>
      <c r="AF27" t="s">
        <v>12</v>
      </c>
    </row>
    <row r="28" spans="1:32" x14ac:dyDescent="0.2">
      <c r="A28">
        <v>53</v>
      </c>
      <c r="B28">
        <v>46</v>
      </c>
      <c r="C28" s="1">
        <v>44598</v>
      </c>
      <c r="D28" t="s">
        <v>144</v>
      </c>
      <c r="E28" t="s">
        <v>70</v>
      </c>
      <c r="F28" t="s">
        <v>3</v>
      </c>
      <c r="G28" t="s">
        <v>16</v>
      </c>
      <c r="H28" t="s">
        <v>1</v>
      </c>
      <c r="I28" t="s">
        <v>145</v>
      </c>
      <c r="J28">
        <v>1</v>
      </c>
      <c r="K28" t="s">
        <v>146</v>
      </c>
      <c r="L28">
        <v>6</v>
      </c>
      <c r="M28">
        <v>9</v>
      </c>
      <c r="N28">
        <v>0.66700000000000004</v>
      </c>
      <c r="O28">
        <v>3</v>
      </c>
      <c r="P28">
        <v>4</v>
      </c>
      <c r="Q28">
        <v>0.75</v>
      </c>
      <c r="R28">
        <v>1</v>
      </c>
      <c r="S28">
        <v>1</v>
      </c>
      <c r="T28">
        <v>1</v>
      </c>
      <c r="U28">
        <v>0</v>
      </c>
      <c r="V28">
        <v>4</v>
      </c>
      <c r="W28">
        <v>4</v>
      </c>
      <c r="X28">
        <v>6</v>
      </c>
      <c r="Y28">
        <v>3</v>
      </c>
      <c r="Z28">
        <v>0</v>
      </c>
      <c r="AA28">
        <v>0</v>
      </c>
      <c r="AB28">
        <v>0</v>
      </c>
      <c r="AC28">
        <v>16</v>
      </c>
      <c r="AD28">
        <v>20.5</v>
      </c>
      <c r="AE28">
        <v>11</v>
      </c>
      <c r="AF28" t="s">
        <v>4</v>
      </c>
    </row>
    <row r="29" spans="1:32" x14ac:dyDescent="0.2">
      <c r="A29">
        <v>52</v>
      </c>
      <c r="B29">
        <v>45</v>
      </c>
      <c r="C29" s="1">
        <v>44596</v>
      </c>
      <c r="D29" t="s">
        <v>147</v>
      </c>
      <c r="E29" t="s">
        <v>70</v>
      </c>
      <c r="F29" t="s">
        <v>3</v>
      </c>
      <c r="G29" t="s">
        <v>18</v>
      </c>
      <c r="H29" t="s">
        <v>0</v>
      </c>
      <c r="I29" t="s">
        <v>148</v>
      </c>
      <c r="J29">
        <v>1</v>
      </c>
      <c r="K29" t="s">
        <v>149</v>
      </c>
      <c r="L29">
        <v>7</v>
      </c>
      <c r="M29">
        <v>12</v>
      </c>
      <c r="N29">
        <v>0.58299999999999996</v>
      </c>
      <c r="O29">
        <v>0</v>
      </c>
      <c r="P29">
        <v>2</v>
      </c>
      <c r="Q29">
        <v>0</v>
      </c>
      <c r="R29">
        <v>4</v>
      </c>
      <c r="S29">
        <v>4</v>
      </c>
      <c r="T29">
        <v>1</v>
      </c>
      <c r="U29">
        <v>0</v>
      </c>
      <c r="V29">
        <v>2</v>
      </c>
      <c r="W29">
        <v>2</v>
      </c>
      <c r="X29">
        <v>6</v>
      </c>
      <c r="Y29">
        <v>0</v>
      </c>
      <c r="Z29">
        <v>0</v>
      </c>
      <c r="AA29">
        <v>1</v>
      </c>
      <c r="AB29">
        <v>5</v>
      </c>
      <c r="AC29">
        <v>18</v>
      </c>
      <c r="AD29">
        <v>14.2</v>
      </c>
      <c r="AE29">
        <v>-6</v>
      </c>
      <c r="AF29" t="s">
        <v>12</v>
      </c>
    </row>
    <row r="30" spans="1:32" x14ac:dyDescent="0.2">
      <c r="A30">
        <v>51</v>
      </c>
      <c r="B30">
        <v>44</v>
      </c>
      <c r="C30" s="1">
        <v>44594</v>
      </c>
      <c r="D30" t="s">
        <v>150</v>
      </c>
      <c r="E30" t="s">
        <v>70</v>
      </c>
      <c r="F30" t="s">
        <v>2</v>
      </c>
      <c r="G30" t="s">
        <v>41</v>
      </c>
      <c r="H30" t="s">
        <v>0</v>
      </c>
      <c r="I30" t="s">
        <v>151</v>
      </c>
      <c r="J30">
        <v>1</v>
      </c>
      <c r="K30" t="s">
        <v>152</v>
      </c>
      <c r="L30">
        <v>9</v>
      </c>
      <c r="M30">
        <v>16</v>
      </c>
      <c r="N30">
        <v>0.56299999999999994</v>
      </c>
      <c r="O30">
        <v>2</v>
      </c>
      <c r="P30">
        <v>4</v>
      </c>
      <c r="Q30">
        <v>0.5</v>
      </c>
      <c r="R30">
        <v>2</v>
      </c>
      <c r="S30">
        <v>2</v>
      </c>
      <c r="T30">
        <v>1</v>
      </c>
      <c r="U30">
        <v>1</v>
      </c>
      <c r="V30">
        <v>7</v>
      </c>
      <c r="W30">
        <v>8</v>
      </c>
      <c r="X30">
        <v>7</v>
      </c>
      <c r="Y30">
        <v>1</v>
      </c>
      <c r="Z30">
        <v>0</v>
      </c>
      <c r="AA30">
        <v>0</v>
      </c>
      <c r="AB30">
        <v>3</v>
      </c>
      <c r="AC30">
        <v>22</v>
      </c>
      <c r="AD30">
        <v>21.9</v>
      </c>
      <c r="AE30">
        <v>9</v>
      </c>
      <c r="AF30" t="s">
        <v>12</v>
      </c>
    </row>
    <row r="31" spans="1:32" x14ac:dyDescent="0.2">
      <c r="A31">
        <v>50</v>
      </c>
      <c r="B31">
        <v>43</v>
      </c>
      <c r="C31" s="1">
        <v>44592</v>
      </c>
      <c r="D31" t="s">
        <v>153</v>
      </c>
      <c r="E31" t="s">
        <v>70</v>
      </c>
      <c r="F31" t="s">
        <v>2</v>
      </c>
      <c r="G31" t="s">
        <v>27</v>
      </c>
      <c r="H31" t="s">
        <v>1</v>
      </c>
      <c r="I31" t="s">
        <v>132</v>
      </c>
      <c r="J31">
        <v>1</v>
      </c>
      <c r="K31" t="s">
        <v>154</v>
      </c>
      <c r="L31">
        <v>13</v>
      </c>
      <c r="M31">
        <v>23</v>
      </c>
      <c r="N31">
        <v>0.56499999999999995</v>
      </c>
      <c r="O31">
        <v>1</v>
      </c>
      <c r="P31">
        <v>4</v>
      </c>
      <c r="Q31">
        <v>0.25</v>
      </c>
      <c r="R31">
        <v>6</v>
      </c>
      <c r="S31">
        <v>7</v>
      </c>
      <c r="T31">
        <v>0.85699999999999998</v>
      </c>
      <c r="U31">
        <v>0</v>
      </c>
      <c r="V31">
        <v>3</v>
      </c>
      <c r="W31">
        <v>3</v>
      </c>
      <c r="X31">
        <v>8</v>
      </c>
      <c r="Y31">
        <v>1</v>
      </c>
      <c r="Z31">
        <v>4</v>
      </c>
      <c r="AA31">
        <v>3</v>
      </c>
      <c r="AB31">
        <v>0</v>
      </c>
      <c r="AC31">
        <v>33</v>
      </c>
      <c r="AD31">
        <v>29</v>
      </c>
      <c r="AE31">
        <v>5</v>
      </c>
      <c r="AF31" t="s">
        <v>4</v>
      </c>
    </row>
    <row r="32" spans="1:32" x14ac:dyDescent="0.2">
      <c r="A32">
        <v>49</v>
      </c>
      <c r="B32">
        <v>42</v>
      </c>
      <c r="C32" s="1">
        <v>44590</v>
      </c>
      <c r="D32" t="s">
        <v>155</v>
      </c>
      <c r="E32" t="s">
        <v>70</v>
      </c>
      <c r="F32" t="s">
        <v>2</v>
      </c>
      <c r="G32" t="s">
        <v>37</v>
      </c>
      <c r="H32" t="s">
        <v>0</v>
      </c>
      <c r="I32" t="s">
        <v>109</v>
      </c>
      <c r="J32">
        <v>1</v>
      </c>
      <c r="K32" t="s">
        <v>156</v>
      </c>
      <c r="L32">
        <v>6</v>
      </c>
      <c r="M32">
        <v>12</v>
      </c>
      <c r="N32">
        <v>0.5</v>
      </c>
      <c r="O32">
        <v>1</v>
      </c>
      <c r="P32">
        <v>3</v>
      </c>
      <c r="Q32">
        <v>0.33300000000000002</v>
      </c>
      <c r="R32">
        <v>0</v>
      </c>
      <c r="S32">
        <v>1</v>
      </c>
      <c r="T32">
        <v>0</v>
      </c>
      <c r="U32">
        <v>1</v>
      </c>
      <c r="V32">
        <v>1</v>
      </c>
      <c r="W32">
        <v>2</v>
      </c>
      <c r="X32">
        <v>7</v>
      </c>
      <c r="Y32">
        <v>1</v>
      </c>
      <c r="Z32">
        <v>0</v>
      </c>
      <c r="AA32">
        <v>2</v>
      </c>
      <c r="AB32">
        <v>1</v>
      </c>
      <c r="AC32">
        <v>13</v>
      </c>
      <c r="AD32">
        <v>11.1</v>
      </c>
      <c r="AE32">
        <v>5</v>
      </c>
      <c r="AF32" t="s">
        <v>4</v>
      </c>
    </row>
    <row r="33" spans="1:32" x14ac:dyDescent="0.2">
      <c r="A33">
        <v>48</v>
      </c>
      <c r="B33">
        <v>41</v>
      </c>
      <c r="C33" s="1">
        <v>44588</v>
      </c>
      <c r="D33" t="s">
        <v>157</v>
      </c>
      <c r="E33" t="s">
        <v>70</v>
      </c>
      <c r="F33" t="s">
        <v>2</v>
      </c>
      <c r="G33" t="s">
        <v>26</v>
      </c>
      <c r="H33" t="s">
        <v>0</v>
      </c>
      <c r="I33" t="s">
        <v>158</v>
      </c>
      <c r="J33">
        <v>1</v>
      </c>
      <c r="K33" t="s">
        <v>159</v>
      </c>
      <c r="L33">
        <v>5</v>
      </c>
      <c r="M33">
        <v>14</v>
      </c>
      <c r="N33">
        <v>0.35699999999999998</v>
      </c>
      <c r="O33">
        <v>2</v>
      </c>
      <c r="P33">
        <v>6</v>
      </c>
      <c r="Q33">
        <v>0.33300000000000002</v>
      </c>
      <c r="R33">
        <v>2</v>
      </c>
      <c r="S33">
        <v>4</v>
      </c>
      <c r="T33">
        <v>0.5</v>
      </c>
      <c r="U33">
        <v>0</v>
      </c>
      <c r="V33">
        <v>7</v>
      </c>
      <c r="W33">
        <v>7</v>
      </c>
      <c r="X33">
        <v>10</v>
      </c>
      <c r="Y33">
        <v>0</v>
      </c>
      <c r="Z33">
        <v>2</v>
      </c>
      <c r="AA33">
        <v>2</v>
      </c>
      <c r="AB33">
        <v>4</v>
      </c>
      <c r="AC33">
        <v>14</v>
      </c>
      <c r="AD33">
        <v>12.3</v>
      </c>
      <c r="AE33">
        <v>27</v>
      </c>
      <c r="AF33" t="s">
        <v>4</v>
      </c>
    </row>
    <row r="34" spans="1:32" x14ac:dyDescent="0.2">
      <c r="A34">
        <v>47</v>
      </c>
      <c r="B34">
        <v>40</v>
      </c>
      <c r="C34" s="1">
        <v>44586</v>
      </c>
      <c r="D34" t="s">
        <v>160</v>
      </c>
      <c r="E34" t="s">
        <v>70</v>
      </c>
      <c r="F34" t="s">
        <v>2</v>
      </c>
      <c r="G34" t="s">
        <v>31</v>
      </c>
      <c r="H34" t="s">
        <v>0</v>
      </c>
      <c r="I34" t="s">
        <v>101</v>
      </c>
      <c r="J34">
        <v>1</v>
      </c>
      <c r="K34" t="s">
        <v>161</v>
      </c>
      <c r="L34">
        <v>4</v>
      </c>
      <c r="M34">
        <v>10</v>
      </c>
      <c r="N34">
        <v>0.4</v>
      </c>
      <c r="O34">
        <v>2</v>
      </c>
      <c r="P34">
        <v>4</v>
      </c>
      <c r="Q34">
        <v>0.5</v>
      </c>
      <c r="R34">
        <v>0</v>
      </c>
      <c r="S34">
        <v>0</v>
      </c>
      <c r="U34">
        <v>0</v>
      </c>
      <c r="V34">
        <v>3</v>
      </c>
      <c r="W34">
        <v>3</v>
      </c>
      <c r="X34">
        <v>5</v>
      </c>
      <c r="Y34">
        <v>0</v>
      </c>
      <c r="Z34">
        <v>0</v>
      </c>
      <c r="AA34">
        <v>1</v>
      </c>
      <c r="AB34">
        <v>4</v>
      </c>
      <c r="AC34">
        <v>10</v>
      </c>
      <c r="AD34">
        <v>6.4</v>
      </c>
      <c r="AE34">
        <v>8</v>
      </c>
      <c r="AF34" t="s">
        <v>4</v>
      </c>
    </row>
    <row r="35" spans="1:32" x14ac:dyDescent="0.2">
      <c r="A35">
        <v>46</v>
      </c>
      <c r="B35">
        <v>39</v>
      </c>
      <c r="C35" s="1">
        <v>44584</v>
      </c>
      <c r="D35" t="s">
        <v>162</v>
      </c>
      <c r="E35" t="s">
        <v>70</v>
      </c>
      <c r="F35" t="s">
        <v>3</v>
      </c>
      <c r="G35" t="s">
        <v>38</v>
      </c>
      <c r="H35" t="s">
        <v>0</v>
      </c>
      <c r="I35" t="s">
        <v>121</v>
      </c>
      <c r="J35">
        <v>1</v>
      </c>
      <c r="K35" t="s">
        <v>163</v>
      </c>
      <c r="L35">
        <v>6</v>
      </c>
      <c r="M35">
        <v>14</v>
      </c>
      <c r="N35">
        <v>0.42899999999999999</v>
      </c>
      <c r="O35">
        <v>1</v>
      </c>
      <c r="P35">
        <v>2</v>
      </c>
      <c r="Q35">
        <v>0.5</v>
      </c>
      <c r="R35">
        <v>5</v>
      </c>
      <c r="S35">
        <v>5</v>
      </c>
      <c r="T35">
        <v>1</v>
      </c>
      <c r="U35">
        <v>1</v>
      </c>
      <c r="V35">
        <v>3</v>
      </c>
      <c r="W35">
        <v>4</v>
      </c>
      <c r="X35">
        <v>6</v>
      </c>
      <c r="Y35">
        <v>1</v>
      </c>
      <c r="Z35">
        <v>0</v>
      </c>
      <c r="AA35">
        <v>4</v>
      </c>
      <c r="AB35">
        <v>2</v>
      </c>
      <c r="AC35">
        <v>18</v>
      </c>
      <c r="AD35">
        <v>12.6</v>
      </c>
      <c r="AE35">
        <v>7</v>
      </c>
      <c r="AF35" t="s">
        <v>4</v>
      </c>
    </row>
    <row r="36" spans="1:32" x14ac:dyDescent="0.2">
      <c r="A36">
        <v>45</v>
      </c>
      <c r="B36">
        <v>38</v>
      </c>
      <c r="C36" s="1">
        <v>44582</v>
      </c>
      <c r="D36" t="s">
        <v>164</v>
      </c>
      <c r="E36" t="s">
        <v>70</v>
      </c>
      <c r="F36" t="s">
        <v>2</v>
      </c>
      <c r="G36" t="s">
        <v>25</v>
      </c>
      <c r="H36" t="s">
        <v>0</v>
      </c>
      <c r="I36" t="s">
        <v>165</v>
      </c>
      <c r="J36">
        <v>1</v>
      </c>
      <c r="K36" t="s">
        <v>166</v>
      </c>
      <c r="L36">
        <v>7</v>
      </c>
      <c r="M36">
        <v>18</v>
      </c>
      <c r="N36">
        <v>0.38900000000000001</v>
      </c>
      <c r="O36">
        <v>3</v>
      </c>
      <c r="P36">
        <v>6</v>
      </c>
      <c r="Q36">
        <v>0.5</v>
      </c>
      <c r="R36">
        <v>2</v>
      </c>
      <c r="S36">
        <v>2</v>
      </c>
      <c r="T36">
        <v>1</v>
      </c>
      <c r="U36">
        <v>0</v>
      </c>
      <c r="V36">
        <v>2</v>
      </c>
      <c r="W36">
        <v>2</v>
      </c>
      <c r="X36">
        <v>8</v>
      </c>
      <c r="Y36">
        <v>0</v>
      </c>
      <c r="Z36">
        <v>0</v>
      </c>
      <c r="AA36">
        <v>0</v>
      </c>
      <c r="AB36">
        <v>1</v>
      </c>
      <c r="AC36">
        <v>19</v>
      </c>
      <c r="AD36">
        <v>15</v>
      </c>
      <c r="AE36">
        <v>-1</v>
      </c>
      <c r="AF36" t="s">
        <v>12</v>
      </c>
    </row>
    <row r="37" spans="1:32" x14ac:dyDescent="0.2">
      <c r="A37">
        <v>44</v>
      </c>
      <c r="B37">
        <v>37</v>
      </c>
      <c r="C37" s="1">
        <v>44580</v>
      </c>
      <c r="D37" t="s">
        <v>167</v>
      </c>
      <c r="E37" t="s">
        <v>70</v>
      </c>
      <c r="F37" t="s">
        <v>2</v>
      </c>
      <c r="G37" t="s">
        <v>34</v>
      </c>
      <c r="H37" t="s">
        <v>0</v>
      </c>
      <c r="I37" t="s">
        <v>140</v>
      </c>
      <c r="J37">
        <v>1</v>
      </c>
      <c r="K37" t="s">
        <v>168</v>
      </c>
      <c r="L37">
        <v>6</v>
      </c>
      <c r="M37">
        <v>10</v>
      </c>
      <c r="N37">
        <v>0.6</v>
      </c>
      <c r="O37">
        <v>2</v>
      </c>
      <c r="P37">
        <v>3</v>
      </c>
      <c r="Q37">
        <v>0.66700000000000004</v>
      </c>
      <c r="R37">
        <v>0</v>
      </c>
      <c r="S37">
        <v>0</v>
      </c>
      <c r="U37">
        <v>1</v>
      </c>
      <c r="V37">
        <v>2</v>
      </c>
      <c r="W37">
        <v>3</v>
      </c>
      <c r="X37">
        <v>2</v>
      </c>
      <c r="Y37">
        <v>1</v>
      </c>
      <c r="Z37">
        <v>0</v>
      </c>
      <c r="AA37">
        <v>0</v>
      </c>
      <c r="AB37">
        <v>0</v>
      </c>
      <c r="AC37">
        <v>14</v>
      </c>
      <c r="AD37">
        <v>13.1</v>
      </c>
      <c r="AE37">
        <v>21</v>
      </c>
      <c r="AF37" t="s">
        <v>4</v>
      </c>
    </row>
    <row r="38" spans="1:32" x14ac:dyDescent="0.2">
      <c r="A38">
        <v>43</v>
      </c>
      <c r="B38">
        <v>36</v>
      </c>
      <c r="C38" s="1">
        <v>44578</v>
      </c>
      <c r="D38" t="s">
        <v>169</v>
      </c>
      <c r="E38" t="s">
        <v>70</v>
      </c>
      <c r="F38" t="s">
        <v>3</v>
      </c>
      <c r="G38" t="s">
        <v>41</v>
      </c>
      <c r="H38" t="s">
        <v>0</v>
      </c>
      <c r="I38" t="s">
        <v>170</v>
      </c>
      <c r="J38">
        <v>1</v>
      </c>
      <c r="K38" t="s">
        <v>171</v>
      </c>
      <c r="L38">
        <v>5</v>
      </c>
      <c r="M38">
        <v>10</v>
      </c>
      <c r="N38">
        <v>0.5</v>
      </c>
      <c r="O38">
        <v>0</v>
      </c>
      <c r="P38">
        <v>1</v>
      </c>
      <c r="Q38">
        <v>0</v>
      </c>
      <c r="R38">
        <v>8</v>
      </c>
      <c r="S38">
        <v>9</v>
      </c>
      <c r="T38">
        <v>0.88900000000000001</v>
      </c>
      <c r="U38">
        <v>0</v>
      </c>
      <c r="V38">
        <v>4</v>
      </c>
      <c r="W38">
        <v>4</v>
      </c>
      <c r="X38">
        <v>3</v>
      </c>
      <c r="Y38">
        <v>1</v>
      </c>
      <c r="Z38">
        <v>0</v>
      </c>
      <c r="AA38">
        <v>0</v>
      </c>
      <c r="AB38">
        <v>1</v>
      </c>
      <c r="AC38">
        <v>18</v>
      </c>
      <c r="AD38">
        <v>16.5</v>
      </c>
      <c r="AE38">
        <v>-28</v>
      </c>
      <c r="AF38" t="s">
        <v>12</v>
      </c>
    </row>
    <row r="39" spans="1:32" x14ac:dyDescent="0.2">
      <c r="A39">
        <v>42</v>
      </c>
      <c r="B39">
        <v>35</v>
      </c>
      <c r="C39" s="1">
        <v>44576</v>
      </c>
      <c r="D39" t="s">
        <v>172</v>
      </c>
      <c r="E39" t="s">
        <v>70</v>
      </c>
      <c r="F39" t="s">
        <v>3</v>
      </c>
      <c r="G39" t="s">
        <v>28</v>
      </c>
      <c r="H39" t="s">
        <v>1</v>
      </c>
      <c r="I39" t="s">
        <v>145</v>
      </c>
      <c r="J39">
        <v>1</v>
      </c>
      <c r="K39" t="s">
        <v>173</v>
      </c>
      <c r="L39">
        <v>4</v>
      </c>
      <c r="M39">
        <v>11</v>
      </c>
      <c r="N39">
        <v>0.36399999999999999</v>
      </c>
      <c r="O39">
        <v>1</v>
      </c>
      <c r="P39">
        <v>4</v>
      </c>
      <c r="Q39">
        <v>0.25</v>
      </c>
      <c r="R39">
        <v>4</v>
      </c>
      <c r="S39">
        <v>5</v>
      </c>
      <c r="T39">
        <v>0.8</v>
      </c>
      <c r="U39">
        <v>0</v>
      </c>
      <c r="V39">
        <v>7</v>
      </c>
      <c r="W39">
        <v>7</v>
      </c>
      <c r="X39">
        <v>4</v>
      </c>
      <c r="Y39">
        <v>0</v>
      </c>
      <c r="Z39">
        <v>2</v>
      </c>
      <c r="AA39">
        <v>2</v>
      </c>
      <c r="AB39">
        <v>4</v>
      </c>
      <c r="AC39">
        <v>13</v>
      </c>
      <c r="AD39">
        <v>9.1999999999999993</v>
      </c>
      <c r="AE39">
        <v>15</v>
      </c>
      <c r="AF39" t="s">
        <v>4</v>
      </c>
    </row>
    <row r="40" spans="1:32" x14ac:dyDescent="0.2">
      <c r="A40">
        <v>41</v>
      </c>
      <c r="B40">
        <v>34</v>
      </c>
      <c r="C40" s="1">
        <v>44575</v>
      </c>
      <c r="D40" t="s">
        <v>174</v>
      </c>
      <c r="E40" t="s">
        <v>70</v>
      </c>
      <c r="F40" t="s">
        <v>2</v>
      </c>
      <c r="G40" t="s">
        <v>14</v>
      </c>
      <c r="H40" t="s">
        <v>0</v>
      </c>
      <c r="I40" t="s">
        <v>175</v>
      </c>
      <c r="J40">
        <v>1</v>
      </c>
      <c r="K40" t="s">
        <v>176</v>
      </c>
      <c r="L40">
        <v>8</v>
      </c>
      <c r="M40">
        <v>16</v>
      </c>
      <c r="N40">
        <v>0.5</v>
      </c>
      <c r="O40">
        <v>5</v>
      </c>
      <c r="P40">
        <v>7</v>
      </c>
      <c r="Q40">
        <v>0.71399999999999997</v>
      </c>
      <c r="R40">
        <v>2</v>
      </c>
      <c r="S40">
        <v>2</v>
      </c>
      <c r="T40">
        <v>1</v>
      </c>
      <c r="U40">
        <v>0</v>
      </c>
      <c r="V40">
        <v>0</v>
      </c>
      <c r="W40">
        <v>0</v>
      </c>
      <c r="X40">
        <v>5</v>
      </c>
      <c r="Y40">
        <v>1</v>
      </c>
      <c r="Z40">
        <v>0</v>
      </c>
      <c r="AA40">
        <v>0</v>
      </c>
      <c r="AB40">
        <v>2</v>
      </c>
      <c r="AC40">
        <v>23</v>
      </c>
      <c r="AD40">
        <v>18.7</v>
      </c>
      <c r="AE40">
        <v>6</v>
      </c>
      <c r="AF40" t="s">
        <v>4</v>
      </c>
    </row>
    <row r="41" spans="1:32" x14ac:dyDescent="0.2">
      <c r="A41">
        <v>40</v>
      </c>
      <c r="B41">
        <v>33</v>
      </c>
      <c r="C41" s="1">
        <v>44573</v>
      </c>
      <c r="D41" t="s">
        <v>177</v>
      </c>
      <c r="E41" t="s">
        <v>70</v>
      </c>
      <c r="F41" t="s">
        <v>2</v>
      </c>
      <c r="G41" t="s">
        <v>17</v>
      </c>
      <c r="H41" t="s">
        <v>0</v>
      </c>
      <c r="I41" t="s">
        <v>178</v>
      </c>
      <c r="J41">
        <v>1</v>
      </c>
      <c r="K41" t="s">
        <v>179</v>
      </c>
      <c r="L41">
        <v>4</v>
      </c>
      <c r="M41">
        <v>13</v>
      </c>
      <c r="N41">
        <v>0.308</v>
      </c>
      <c r="O41">
        <v>2</v>
      </c>
      <c r="P41">
        <v>4</v>
      </c>
      <c r="Q41">
        <v>0.5</v>
      </c>
      <c r="R41">
        <v>0</v>
      </c>
      <c r="S41">
        <v>0</v>
      </c>
      <c r="U41">
        <v>0</v>
      </c>
      <c r="V41">
        <v>3</v>
      </c>
      <c r="W41">
        <v>3</v>
      </c>
      <c r="X41">
        <v>3</v>
      </c>
      <c r="Y41">
        <v>0</v>
      </c>
      <c r="Z41">
        <v>0</v>
      </c>
      <c r="AA41">
        <v>0</v>
      </c>
      <c r="AB41">
        <v>0</v>
      </c>
      <c r="AC41">
        <v>10</v>
      </c>
      <c r="AD41">
        <v>5.5</v>
      </c>
      <c r="AE41">
        <v>-16</v>
      </c>
      <c r="AF41" t="s">
        <v>12</v>
      </c>
    </row>
    <row r="42" spans="1:32" x14ac:dyDescent="0.2">
      <c r="A42">
        <v>35</v>
      </c>
      <c r="B42">
        <v>32</v>
      </c>
      <c r="C42" s="1">
        <v>44560</v>
      </c>
      <c r="D42" t="s">
        <v>180</v>
      </c>
      <c r="E42" t="s">
        <v>70</v>
      </c>
      <c r="F42" t="s">
        <v>3</v>
      </c>
      <c r="G42" t="s">
        <v>15</v>
      </c>
      <c r="H42" t="s">
        <v>0</v>
      </c>
      <c r="I42" t="s">
        <v>181</v>
      </c>
      <c r="J42">
        <v>1</v>
      </c>
      <c r="K42" t="s">
        <v>182</v>
      </c>
      <c r="L42">
        <v>10</v>
      </c>
      <c r="M42">
        <v>18</v>
      </c>
      <c r="N42">
        <v>0.55600000000000005</v>
      </c>
      <c r="O42">
        <v>5</v>
      </c>
      <c r="P42">
        <v>8</v>
      </c>
      <c r="Q42">
        <v>0.625</v>
      </c>
      <c r="R42">
        <v>0</v>
      </c>
      <c r="S42">
        <v>0</v>
      </c>
      <c r="U42">
        <v>2</v>
      </c>
      <c r="V42">
        <v>5</v>
      </c>
      <c r="W42">
        <v>7</v>
      </c>
      <c r="X42">
        <v>4</v>
      </c>
      <c r="Y42">
        <v>0</v>
      </c>
      <c r="Z42">
        <v>0</v>
      </c>
      <c r="AA42">
        <v>0</v>
      </c>
      <c r="AB42">
        <v>3</v>
      </c>
      <c r="AC42">
        <v>25</v>
      </c>
      <c r="AD42">
        <v>20.9</v>
      </c>
      <c r="AE42">
        <v>6</v>
      </c>
      <c r="AF42" t="s">
        <v>4</v>
      </c>
    </row>
    <row r="43" spans="1:32" x14ac:dyDescent="0.2">
      <c r="A43">
        <v>34</v>
      </c>
      <c r="B43">
        <v>31</v>
      </c>
      <c r="C43" s="1">
        <v>44558</v>
      </c>
      <c r="D43" t="s">
        <v>183</v>
      </c>
      <c r="E43" t="s">
        <v>70</v>
      </c>
      <c r="F43" t="s">
        <v>3</v>
      </c>
      <c r="G43" t="s">
        <v>39</v>
      </c>
      <c r="H43" t="s">
        <v>0</v>
      </c>
      <c r="I43" t="s">
        <v>92</v>
      </c>
      <c r="J43">
        <v>1</v>
      </c>
      <c r="K43" t="s">
        <v>184</v>
      </c>
      <c r="L43">
        <v>2</v>
      </c>
      <c r="M43">
        <v>11</v>
      </c>
      <c r="N43">
        <v>0.182</v>
      </c>
      <c r="O43">
        <v>1</v>
      </c>
      <c r="P43">
        <v>4</v>
      </c>
      <c r="Q43">
        <v>0.25</v>
      </c>
      <c r="R43">
        <v>0</v>
      </c>
      <c r="S43">
        <v>0</v>
      </c>
      <c r="U43">
        <v>0</v>
      </c>
      <c r="V43">
        <v>2</v>
      </c>
      <c r="W43">
        <v>2</v>
      </c>
      <c r="X43">
        <v>1</v>
      </c>
      <c r="Y43">
        <v>0</v>
      </c>
      <c r="Z43">
        <v>0</v>
      </c>
      <c r="AA43">
        <v>1</v>
      </c>
      <c r="AB43">
        <v>0</v>
      </c>
      <c r="AC43">
        <v>5</v>
      </c>
      <c r="AD43">
        <v>-1.6</v>
      </c>
      <c r="AE43">
        <v>1</v>
      </c>
      <c r="AF43" t="s">
        <v>4</v>
      </c>
    </row>
    <row r="44" spans="1:32" x14ac:dyDescent="0.2">
      <c r="A44">
        <v>33</v>
      </c>
      <c r="B44">
        <v>30</v>
      </c>
      <c r="C44" s="1">
        <v>44556</v>
      </c>
      <c r="D44" t="s">
        <v>185</v>
      </c>
      <c r="E44" t="s">
        <v>70</v>
      </c>
      <c r="F44" t="s">
        <v>3</v>
      </c>
      <c r="G44" t="s">
        <v>41</v>
      </c>
      <c r="H44" t="s">
        <v>0</v>
      </c>
      <c r="I44" t="s">
        <v>186</v>
      </c>
      <c r="J44">
        <v>1</v>
      </c>
      <c r="K44" t="s">
        <v>187</v>
      </c>
      <c r="L44">
        <v>5</v>
      </c>
      <c r="M44">
        <v>11</v>
      </c>
      <c r="N44">
        <v>0.45500000000000002</v>
      </c>
      <c r="O44">
        <v>1</v>
      </c>
      <c r="P44">
        <v>2</v>
      </c>
      <c r="Q44">
        <v>0.5</v>
      </c>
      <c r="R44">
        <v>2</v>
      </c>
      <c r="S44">
        <v>2</v>
      </c>
      <c r="T44">
        <v>1</v>
      </c>
      <c r="U44">
        <v>0</v>
      </c>
      <c r="V44">
        <v>3</v>
      </c>
      <c r="W44">
        <v>3</v>
      </c>
      <c r="X44">
        <v>4</v>
      </c>
      <c r="Y44">
        <v>0</v>
      </c>
      <c r="Z44">
        <v>0</v>
      </c>
      <c r="AA44">
        <v>0</v>
      </c>
      <c r="AB44">
        <v>1</v>
      </c>
      <c r="AC44">
        <v>13</v>
      </c>
      <c r="AD44">
        <v>10.6</v>
      </c>
      <c r="AE44">
        <v>31</v>
      </c>
      <c r="AF44" t="s">
        <v>4</v>
      </c>
    </row>
    <row r="45" spans="1:32" x14ac:dyDescent="0.2">
      <c r="A45">
        <v>32</v>
      </c>
      <c r="B45">
        <v>29</v>
      </c>
      <c r="C45" s="1">
        <v>44553</v>
      </c>
      <c r="D45" t="s">
        <v>188</v>
      </c>
      <c r="E45" t="s">
        <v>70</v>
      </c>
      <c r="F45" t="s">
        <v>2</v>
      </c>
      <c r="G45" t="s">
        <v>13</v>
      </c>
      <c r="H45" t="s">
        <v>0</v>
      </c>
      <c r="I45" t="s">
        <v>83</v>
      </c>
      <c r="J45">
        <v>0</v>
      </c>
      <c r="K45" t="s">
        <v>189</v>
      </c>
      <c r="L45">
        <v>7</v>
      </c>
      <c r="M45">
        <v>16</v>
      </c>
      <c r="N45">
        <v>0.438</v>
      </c>
      <c r="O45">
        <v>1</v>
      </c>
      <c r="P45">
        <v>5</v>
      </c>
      <c r="Q45">
        <v>0.2</v>
      </c>
      <c r="R45">
        <v>2</v>
      </c>
      <c r="S45">
        <v>3</v>
      </c>
      <c r="T45">
        <v>0.66700000000000004</v>
      </c>
      <c r="U45">
        <v>0</v>
      </c>
      <c r="V45">
        <v>1</v>
      </c>
      <c r="W45">
        <v>1</v>
      </c>
      <c r="X45">
        <v>3</v>
      </c>
      <c r="Y45">
        <v>2</v>
      </c>
      <c r="Z45">
        <v>1</v>
      </c>
      <c r="AA45">
        <v>1</v>
      </c>
      <c r="AB45">
        <v>1</v>
      </c>
      <c r="AC45">
        <v>17</v>
      </c>
      <c r="AD45">
        <v>11.9</v>
      </c>
      <c r="AE45">
        <v>9</v>
      </c>
      <c r="AF45" t="s">
        <v>12</v>
      </c>
    </row>
    <row r="46" spans="1:32" x14ac:dyDescent="0.2">
      <c r="A46">
        <v>29</v>
      </c>
      <c r="B46">
        <v>28</v>
      </c>
      <c r="C46" s="1">
        <v>44545</v>
      </c>
      <c r="D46" t="s">
        <v>190</v>
      </c>
      <c r="E46" t="s">
        <v>70</v>
      </c>
      <c r="F46" t="s">
        <v>2</v>
      </c>
      <c r="G46" t="s">
        <v>28</v>
      </c>
      <c r="H46" t="s">
        <v>1</v>
      </c>
      <c r="I46" t="s">
        <v>98</v>
      </c>
      <c r="J46">
        <v>1</v>
      </c>
      <c r="K46" t="s">
        <v>191</v>
      </c>
      <c r="L46">
        <v>11</v>
      </c>
      <c r="M46">
        <v>15</v>
      </c>
      <c r="N46">
        <v>0.73299999999999998</v>
      </c>
      <c r="O46">
        <v>2</v>
      </c>
      <c r="P46">
        <v>5</v>
      </c>
      <c r="Q46">
        <v>0.4</v>
      </c>
      <c r="R46">
        <v>3</v>
      </c>
      <c r="S46">
        <v>3</v>
      </c>
      <c r="T46">
        <v>1</v>
      </c>
      <c r="U46">
        <v>0</v>
      </c>
      <c r="V46">
        <v>3</v>
      </c>
      <c r="W46">
        <v>3</v>
      </c>
      <c r="X46">
        <v>5</v>
      </c>
      <c r="Y46">
        <v>0</v>
      </c>
      <c r="Z46">
        <v>1</v>
      </c>
      <c r="AA46">
        <v>2</v>
      </c>
      <c r="AB46">
        <v>3</v>
      </c>
      <c r="AC46">
        <v>27</v>
      </c>
      <c r="AD46">
        <v>22.8</v>
      </c>
      <c r="AE46">
        <v>1</v>
      </c>
      <c r="AF46" t="s">
        <v>12</v>
      </c>
    </row>
    <row r="47" spans="1:32" x14ac:dyDescent="0.2">
      <c r="A47">
        <v>28</v>
      </c>
      <c r="B47">
        <v>27</v>
      </c>
      <c r="C47" s="1">
        <v>44543</v>
      </c>
      <c r="D47" t="s">
        <v>192</v>
      </c>
      <c r="E47" t="s">
        <v>70</v>
      </c>
      <c r="F47" t="s">
        <v>3</v>
      </c>
      <c r="G47" t="s">
        <v>27</v>
      </c>
      <c r="H47" t="s">
        <v>1</v>
      </c>
      <c r="I47" t="s">
        <v>193</v>
      </c>
      <c r="J47">
        <v>1</v>
      </c>
      <c r="K47" t="s">
        <v>194</v>
      </c>
      <c r="L47">
        <v>9</v>
      </c>
      <c r="M47">
        <v>17</v>
      </c>
      <c r="N47">
        <v>0.52900000000000003</v>
      </c>
      <c r="O47">
        <v>2</v>
      </c>
      <c r="P47">
        <v>5</v>
      </c>
      <c r="Q47">
        <v>0.4</v>
      </c>
      <c r="R47">
        <v>3</v>
      </c>
      <c r="S47">
        <v>3</v>
      </c>
      <c r="T47">
        <v>1</v>
      </c>
      <c r="U47">
        <v>0</v>
      </c>
      <c r="V47">
        <v>0</v>
      </c>
      <c r="W47">
        <v>0</v>
      </c>
      <c r="X47">
        <v>7</v>
      </c>
      <c r="Y47">
        <v>1</v>
      </c>
      <c r="Z47">
        <v>0</v>
      </c>
      <c r="AA47">
        <v>3</v>
      </c>
      <c r="AB47">
        <v>3</v>
      </c>
      <c r="AC47">
        <v>23</v>
      </c>
      <c r="AD47">
        <v>16.399999999999999</v>
      </c>
      <c r="AE47">
        <v>-23</v>
      </c>
      <c r="AF47" t="s">
        <v>12</v>
      </c>
    </row>
    <row r="48" spans="1:32" x14ac:dyDescent="0.2">
      <c r="A48">
        <v>27</v>
      </c>
      <c r="B48">
        <v>26</v>
      </c>
      <c r="C48" s="1">
        <v>44541</v>
      </c>
      <c r="D48" t="s">
        <v>195</v>
      </c>
      <c r="E48" t="s">
        <v>70</v>
      </c>
      <c r="F48" t="s">
        <v>2</v>
      </c>
      <c r="G48" t="s">
        <v>22</v>
      </c>
      <c r="H48" t="s">
        <v>1</v>
      </c>
      <c r="I48" t="s">
        <v>71</v>
      </c>
      <c r="J48">
        <v>1</v>
      </c>
      <c r="K48" t="s">
        <v>196</v>
      </c>
      <c r="L48">
        <v>5</v>
      </c>
      <c r="M48">
        <v>10</v>
      </c>
      <c r="N48">
        <v>0.5</v>
      </c>
      <c r="O48">
        <v>2</v>
      </c>
      <c r="P48">
        <v>4</v>
      </c>
      <c r="Q48">
        <v>0.5</v>
      </c>
      <c r="R48">
        <v>2</v>
      </c>
      <c r="S48">
        <v>4</v>
      </c>
      <c r="T48">
        <v>0.5</v>
      </c>
      <c r="U48">
        <v>0</v>
      </c>
      <c r="V48">
        <v>2</v>
      </c>
      <c r="W48">
        <v>2</v>
      </c>
      <c r="X48">
        <v>2</v>
      </c>
      <c r="Y48">
        <v>0</v>
      </c>
      <c r="Z48">
        <v>2</v>
      </c>
      <c r="AA48">
        <v>2</v>
      </c>
      <c r="AB48">
        <v>1</v>
      </c>
      <c r="AC48">
        <v>14</v>
      </c>
      <c r="AD48">
        <v>9.1999999999999993</v>
      </c>
      <c r="AE48">
        <v>-11</v>
      </c>
      <c r="AF48" t="s">
        <v>4</v>
      </c>
    </row>
    <row r="49" spans="1:32" x14ac:dyDescent="0.2">
      <c r="A49">
        <v>26</v>
      </c>
      <c r="B49">
        <v>25</v>
      </c>
      <c r="C49" s="1">
        <v>44539</v>
      </c>
      <c r="D49" t="s">
        <v>197</v>
      </c>
      <c r="E49" t="s">
        <v>70</v>
      </c>
      <c r="F49" t="s">
        <v>2</v>
      </c>
      <c r="G49" t="s">
        <v>40</v>
      </c>
      <c r="H49" t="s">
        <v>1</v>
      </c>
      <c r="I49" t="s">
        <v>198</v>
      </c>
      <c r="J49">
        <v>1</v>
      </c>
      <c r="K49" t="s">
        <v>199</v>
      </c>
      <c r="L49">
        <v>5</v>
      </c>
      <c r="M49">
        <v>10</v>
      </c>
      <c r="N49">
        <v>0.5</v>
      </c>
      <c r="O49">
        <v>0</v>
      </c>
      <c r="P49">
        <v>0</v>
      </c>
      <c r="R49">
        <v>1</v>
      </c>
      <c r="S49">
        <v>2</v>
      </c>
      <c r="T49">
        <v>0.5</v>
      </c>
      <c r="U49">
        <v>2</v>
      </c>
      <c r="V49">
        <v>1</v>
      </c>
      <c r="W49">
        <v>3</v>
      </c>
      <c r="X49">
        <v>2</v>
      </c>
      <c r="Y49">
        <v>2</v>
      </c>
      <c r="Z49">
        <v>0</v>
      </c>
      <c r="AA49">
        <v>1</v>
      </c>
      <c r="AB49">
        <v>1</v>
      </c>
      <c r="AC49">
        <v>11</v>
      </c>
      <c r="AD49">
        <v>9.3000000000000007</v>
      </c>
      <c r="AE49">
        <v>-16</v>
      </c>
      <c r="AF49" t="s">
        <v>12</v>
      </c>
    </row>
    <row r="50" spans="1:32" x14ac:dyDescent="0.2">
      <c r="A50">
        <v>25</v>
      </c>
      <c r="B50">
        <v>24</v>
      </c>
      <c r="C50" s="1">
        <v>44538</v>
      </c>
      <c r="D50" t="s">
        <v>200</v>
      </c>
      <c r="E50" t="s">
        <v>70</v>
      </c>
      <c r="F50" t="s">
        <v>3</v>
      </c>
      <c r="G50" t="s">
        <v>17</v>
      </c>
      <c r="H50" t="s">
        <v>0</v>
      </c>
      <c r="I50" t="s">
        <v>74</v>
      </c>
      <c r="J50">
        <v>1</v>
      </c>
      <c r="K50" t="s">
        <v>201</v>
      </c>
      <c r="L50">
        <v>2</v>
      </c>
      <c r="M50">
        <v>5</v>
      </c>
      <c r="N50">
        <v>0.4</v>
      </c>
      <c r="O50">
        <v>1</v>
      </c>
      <c r="P50">
        <v>3</v>
      </c>
      <c r="Q50">
        <v>0.33300000000000002</v>
      </c>
      <c r="R50">
        <v>1</v>
      </c>
      <c r="S50">
        <v>1</v>
      </c>
      <c r="T50">
        <v>1</v>
      </c>
      <c r="U50">
        <v>0</v>
      </c>
      <c r="V50">
        <v>2</v>
      </c>
      <c r="W50">
        <v>2</v>
      </c>
      <c r="X50">
        <v>3</v>
      </c>
      <c r="Y50">
        <v>0</v>
      </c>
      <c r="Z50">
        <v>0</v>
      </c>
      <c r="AA50">
        <v>3</v>
      </c>
      <c r="AB50">
        <v>3</v>
      </c>
      <c r="AC50">
        <v>6</v>
      </c>
      <c r="AD50">
        <v>1.8</v>
      </c>
      <c r="AE50">
        <v>0</v>
      </c>
      <c r="AF50" t="s">
        <v>4</v>
      </c>
    </row>
    <row r="51" spans="1:32" x14ac:dyDescent="0.2">
      <c r="A51">
        <v>23</v>
      </c>
      <c r="B51">
        <v>23</v>
      </c>
      <c r="C51" s="1">
        <v>44533</v>
      </c>
      <c r="D51" t="s">
        <v>202</v>
      </c>
      <c r="E51" t="s">
        <v>70</v>
      </c>
      <c r="F51" t="s">
        <v>3</v>
      </c>
      <c r="G51" t="s">
        <v>13</v>
      </c>
      <c r="H51" t="s">
        <v>0</v>
      </c>
      <c r="I51" t="s">
        <v>109</v>
      </c>
      <c r="J51">
        <v>1</v>
      </c>
      <c r="K51" t="s">
        <v>203</v>
      </c>
      <c r="L51">
        <v>4</v>
      </c>
      <c r="M51">
        <v>10</v>
      </c>
      <c r="N51">
        <v>0.4</v>
      </c>
      <c r="O51">
        <v>0</v>
      </c>
      <c r="P51">
        <v>1</v>
      </c>
      <c r="Q51">
        <v>0</v>
      </c>
      <c r="R51">
        <v>3</v>
      </c>
      <c r="S51">
        <v>3</v>
      </c>
      <c r="T51">
        <v>1</v>
      </c>
      <c r="U51">
        <v>1</v>
      </c>
      <c r="V51">
        <v>2</v>
      </c>
      <c r="W51">
        <v>3</v>
      </c>
      <c r="X51">
        <v>5</v>
      </c>
      <c r="Y51">
        <v>1</v>
      </c>
      <c r="Z51">
        <v>1</v>
      </c>
      <c r="AA51">
        <v>0</v>
      </c>
      <c r="AB51">
        <v>2</v>
      </c>
      <c r="AC51">
        <v>11</v>
      </c>
      <c r="AD51">
        <v>11.3</v>
      </c>
      <c r="AE51">
        <v>4</v>
      </c>
      <c r="AF51" t="s">
        <v>4</v>
      </c>
    </row>
    <row r="52" spans="1:32" x14ac:dyDescent="0.2">
      <c r="A52">
        <v>22</v>
      </c>
      <c r="B52">
        <v>22</v>
      </c>
      <c r="C52" s="1">
        <v>44531</v>
      </c>
      <c r="D52" t="s">
        <v>204</v>
      </c>
      <c r="E52" t="s">
        <v>70</v>
      </c>
      <c r="F52" t="s">
        <v>3</v>
      </c>
      <c r="G52" t="s">
        <v>14</v>
      </c>
      <c r="H52" t="s">
        <v>0</v>
      </c>
      <c r="I52" t="s">
        <v>165</v>
      </c>
      <c r="J52">
        <v>1</v>
      </c>
      <c r="K52" t="s">
        <v>205</v>
      </c>
      <c r="L52">
        <v>3</v>
      </c>
      <c r="M52">
        <v>13</v>
      </c>
      <c r="N52">
        <v>0.23100000000000001</v>
      </c>
      <c r="O52">
        <v>0</v>
      </c>
      <c r="P52">
        <v>2</v>
      </c>
      <c r="Q52">
        <v>0</v>
      </c>
      <c r="R52">
        <v>0</v>
      </c>
      <c r="S52">
        <v>0</v>
      </c>
      <c r="U52">
        <v>1</v>
      </c>
      <c r="V52">
        <v>5</v>
      </c>
      <c r="W52">
        <v>6</v>
      </c>
      <c r="X52">
        <v>1</v>
      </c>
      <c r="Y52">
        <v>0</v>
      </c>
      <c r="Z52">
        <v>0</v>
      </c>
      <c r="AA52">
        <v>0</v>
      </c>
      <c r="AB52">
        <v>1</v>
      </c>
      <c r="AC52">
        <v>6</v>
      </c>
      <c r="AD52">
        <v>0.6</v>
      </c>
      <c r="AE52">
        <v>-9</v>
      </c>
      <c r="AF52" t="s">
        <v>12</v>
      </c>
    </row>
    <row r="53" spans="1:32" x14ac:dyDescent="0.2">
      <c r="A53">
        <v>21</v>
      </c>
      <c r="B53">
        <v>21</v>
      </c>
      <c r="C53" s="1">
        <v>44529</v>
      </c>
      <c r="D53" t="s">
        <v>206</v>
      </c>
      <c r="E53" t="s">
        <v>70</v>
      </c>
      <c r="F53" t="s">
        <v>2</v>
      </c>
      <c r="G53" t="s">
        <v>34</v>
      </c>
      <c r="H53" t="s">
        <v>0</v>
      </c>
      <c r="I53" t="s">
        <v>92</v>
      </c>
      <c r="J53">
        <v>1</v>
      </c>
      <c r="K53" t="s">
        <v>207</v>
      </c>
      <c r="L53">
        <v>2</v>
      </c>
      <c r="M53">
        <v>12</v>
      </c>
      <c r="N53">
        <v>0.16700000000000001</v>
      </c>
      <c r="O53">
        <v>1</v>
      </c>
      <c r="P53">
        <v>4</v>
      </c>
      <c r="Q53">
        <v>0.25</v>
      </c>
      <c r="R53">
        <v>4</v>
      </c>
      <c r="S53">
        <v>4</v>
      </c>
      <c r="T53">
        <v>1</v>
      </c>
      <c r="U53">
        <v>1</v>
      </c>
      <c r="V53">
        <v>7</v>
      </c>
      <c r="W53">
        <v>8</v>
      </c>
      <c r="X53">
        <v>9</v>
      </c>
      <c r="Y53">
        <v>0</v>
      </c>
      <c r="Z53">
        <v>1</v>
      </c>
      <c r="AA53">
        <v>0</v>
      </c>
      <c r="AB53">
        <v>3</v>
      </c>
      <c r="AC53">
        <v>9</v>
      </c>
      <c r="AD53">
        <v>10</v>
      </c>
      <c r="AE53">
        <v>0</v>
      </c>
      <c r="AF53" t="s">
        <v>4</v>
      </c>
    </row>
    <row r="54" spans="1:32" x14ac:dyDescent="0.2">
      <c r="A54">
        <v>20</v>
      </c>
      <c r="B54">
        <v>20</v>
      </c>
      <c r="C54" s="1">
        <v>44527</v>
      </c>
      <c r="D54" t="s">
        <v>208</v>
      </c>
      <c r="E54" t="s">
        <v>70</v>
      </c>
      <c r="F54" t="s">
        <v>2</v>
      </c>
      <c r="G54" t="s">
        <v>30</v>
      </c>
      <c r="H54" t="s">
        <v>0</v>
      </c>
      <c r="I54" t="s">
        <v>165</v>
      </c>
      <c r="J54">
        <v>1</v>
      </c>
      <c r="K54" t="s">
        <v>209</v>
      </c>
      <c r="L54">
        <v>5</v>
      </c>
      <c r="M54">
        <v>15</v>
      </c>
      <c r="N54">
        <v>0.33300000000000002</v>
      </c>
      <c r="O54">
        <v>1</v>
      </c>
      <c r="P54">
        <v>3</v>
      </c>
      <c r="Q54">
        <v>0.33300000000000002</v>
      </c>
      <c r="R54">
        <v>4</v>
      </c>
      <c r="S54">
        <v>5</v>
      </c>
      <c r="T54">
        <v>0.8</v>
      </c>
      <c r="U54">
        <v>0</v>
      </c>
      <c r="V54">
        <v>4</v>
      </c>
      <c r="W54">
        <v>4</v>
      </c>
      <c r="X54">
        <v>9</v>
      </c>
      <c r="Y54">
        <v>0</v>
      </c>
      <c r="Z54">
        <v>1</v>
      </c>
      <c r="AA54">
        <v>4</v>
      </c>
      <c r="AB54">
        <v>5</v>
      </c>
      <c r="AC54">
        <v>15</v>
      </c>
      <c r="AD54">
        <v>8.3000000000000007</v>
      </c>
      <c r="AE54">
        <v>7</v>
      </c>
      <c r="AF54" t="s">
        <v>12</v>
      </c>
    </row>
    <row r="55" spans="1:32" x14ac:dyDescent="0.2">
      <c r="A55">
        <v>19</v>
      </c>
      <c r="B55">
        <v>19</v>
      </c>
      <c r="C55" s="1">
        <v>44524</v>
      </c>
      <c r="D55" t="s">
        <v>210</v>
      </c>
      <c r="E55" t="s">
        <v>70</v>
      </c>
      <c r="F55" t="s">
        <v>3</v>
      </c>
      <c r="G55" t="s">
        <v>22</v>
      </c>
      <c r="H55" t="s">
        <v>1</v>
      </c>
      <c r="I55" t="s">
        <v>211</v>
      </c>
      <c r="J55">
        <v>1</v>
      </c>
      <c r="K55" t="s">
        <v>78</v>
      </c>
      <c r="L55">
        <v>5</v>
      </c>
      <c r="M55">
        <v>15</v>
      </c>
      <c r="N55">
        <v>0.33300000000000002</v>
      </c>
      <c r="O55">
        <v>0</v>
      </c>
      <c r="P55">
        <v>1</v>
      </c>
      <c r="Q55">
        <v>0</v>
      </c>
      <c r="R55">
        <v>9</v>
      </c>
      <c r="S55">
        <v>10</v>
      </c>
      <c r="T55">
        <v>0.9</v>
      </c>
      <c r="U55">
        <v>0</v>
      </c>
      <c r="V55">
        <v>3</v>
      </c>
      <c r="W55">
        <v>3</v>
      </c>
      <c r="X55">
        <v>5</v>
      </c>
      <c r="Y55">
        <v>0</v>
      </c>
      <c r="Z55">
        <v>1</v>
      </c>
      <c r="AA55">
        <v>2</v>
      </c>
      <c r="AB55">
        <v>2</v>
      </c>
      <c r="AC55">
        <v>19</v>
      </c>
      <c r="AD55">
        <v>12.4</v>
      </c>
      <c r="AE55">
        <v>-9</v>
      </c>
      <c r="AF55" t="s">
        <v>12</v>
      </c>
    </row>
    <row r="56" spans="1:32" x14ac:dyDescent="0.2">
      <c r="A56">
        <v>18</v>
      </c>
      <c r="B56">
        <v>18</v>
      </c>
      <c r="C56" s="1">
        <v>44522</v>
      </c>
      <c r="D56" t="s">
        <v>212</v>
      </c>
      <c r="E56" t="s">
        <v>70</v>
      </c>
      <c r="F56" t="s">
        <v>3</v>
      </c>
      <c r="G56" t="s">
        <v>37</v>
      </c>
      <c r="H56" t="s">
        <v>0</v>
      </c>
      <c r="I56" t="s">
        <v>181</v>
      </c>
      <c r="J56">
        <v>1</v>
      </c>
      <c r="K56" t="s">
        <v>168</v>
      </c>
      <c r="L56">
        <v>8</v>
      </c>
      <c r="M56">
        <v>22</v>
      </c>
      <c r="N56">
        <v>0.36399999999999999</v>
      </c>
      <c r="O56">
        <v>0</v>
      </c>
      <c r="P56">
        <v>4</v>
      </c>
      <c r="Q56">
        <v>0</v>
      </c>
      <c r="R56">
        <v>8</v>
      </c>
      <c r="S56">
        <v>8</v>
      </c>
      <c r="T56">
        <v>1</v>
      </c>
      <c r="U56">
        <v>0</v>
      </c>
      <c r="V56">
        <v>1</v>
      </c>
      <c r="W56">
        <v>1</v>
      </c>
      <c r="X56">
        <v>4</v>
      </c>
      <c r="Y56">
        <v>2</v>
      </c>
      <c r="Z56">
        <v>0</v>
      </c>
      <c r="AA56">
        <v>0</v>
      </c>
      <c r="AB56">
        <v>3</v>
      </c>
      <c r="AC56">
        <v>24</v>
      </c>
      <c r="AD56">
        <v>15.7</v>
      </c>
      <c r="AE56">
        <v>7</v>
      </c>
      <c r="AF56" t="s">
        <v>4</v>
      </c>
    </row>
    <row r="57" spans="1:32" x14ac:dyDescent="0.2">
      <c r="A57">
        <v>17</v>
      </c>
      <c r="B57">
        <v>17</v>
      </c>
      <c r="C57" s="1">
        <v>44520</v>
      </c>
      <c r="D57" t="s">
        <v>213</v>
      </c>
      <c r="E57" t="s">
        <v>70</v>
      </c>
      <c r="F57" t="s">
        <v>3</v>
      </c>
      <c r="G57" t="s">
        <v>36</v>
      </c>
      <c r="H57" t="s">
        <v>0</v>
      </c>
      <c r="I57" t="s">
        <v>214</v>
      </c>
      <c r="J57">
        <v>1</v>
      </c>
      <c r="K57" t="s">
        <v>215</v>
      </c>
      <c r="L57">
        <v>9</v>
      </c>
      <c r="M57">
        <v>17</v>
      </c>
      <c r="N57">
        <v>0.52900000000000003</v>
      </c>
      <c r="O57">
        <v>1</v>
      </c>
      <c r="P57">
        <v>4</v>
      </c>
      <c r="Q57">
        <v>0.25</v>
      </c>
      <c r="R57">
        <v>9</v>
      </c>
      <c r="S57">
        <v>9</v>
      </c>
      <c r="T57">
        <v>1</v>
      </c>
      <c r="U57">
        <v>0</v>
      </c>
      <c r="V57">
        <v>3</v>
      </c>
      <c r="W57">
        <v>3</v>
      </c>
      <c r="X57">
        <v>9</v>
      </c>
      <c r="Y57">
        <v>2</v>
      </c>
      <c r="Z57">
        <v>0</v>
      </c>
      <c r="AA57">
        <v>0</v>
      </c>
      <c r="AB57">
        <v>3</v>
      </c>
      <c r="AC57">
        <v>28</v>
      </c>
      <c r="AD57">
        <v>27.7</v>
      </c>
      <c r="AE57">
        <v>-4</v>
      </c>
      <c r="AF57" t="s">
        <v>12</v>
      </c>
    </row>
    <row r="58" spans="1:32" x14ac:dyDescent="0.2">
      <c r="A58">
        <v>16</v>
      </c>
      <c r="B58">
        <v>16</v>
      </c>
      <c r="C58" s="1">
        <v>44518</v>
      </c>
      <c r="D58" t="s">
        <v>216</v>
      </c>
      <c r="E58" t="s">
        <v>70</v>
      </c>
      <c r="F58" t="s">
        <v>3</v>
      </c>
      <c r="G58" t="s">
        <v>20</v>
      </c>
      <c r="H58" t="s">
        <v>0</v>
      </c>
      <c r="I58" t="s">
        <v>217</v>
      </c>
      <c r="J58">
        <v>1</v>
      </c>
      <c r="K58" t="s">
        <v>218</v>
      </c>
      <c r="L58">
        <v>9</v>
      </c>
      <c r="M58">
        <v>15</v>
      </c>
      <c r="N58">
        <v>0.6</v>
      </c>
      <c r="O58">
        <v>2</v>
      </c>
      <c r="P58">
        <v>3</v>
      </c>
      <c r="Q58">
        <v>0.66700000000000004</v>
      </c>
      <c r="R58">
        <v>2</v>
      </c>
      <c r="S58">
        <v>4</v>
      </c>
      <c r="T58">
        <v>0.5</v>
      </c>
      <c r="U58">
        <v>0</v>
      </c>
      <c r="V58">
        <v>5</v>
      </c>
      <c r="W58">
        <v>5</v>
      </c>
      <c r="X58">
        <v>4</v>
      </c>
      <c r="Y58">
        <v>1</v>
      </c>
      <c r="Z58">
        <v>1</v>
      </c>
      <c r="AA58">
        <v>0</v>
      </c>
      <c r="AB58">
        <v>0</v>
      </c>
      <c r="AC58">
        <v>22</v>
      </c>
      <c r="AD58">
        <v>20.3</v>
      </c>
      <c r="AE58">
        <v>2</v>
      </c>
      <c r="AF58" t="s">
        <v>4</v>
      </c>
    </row>
    <row r="59" spans="1:32" x14ac:dyDescent="0.2">
      <c r="A59">
        <v>15</v>
      </c>
      <c r="B59">
        <v>15</v>
      </c>
      <c r="C59" s="1">
        <v>44516</v>
      </c>
      <c r="D59" t="s">
        <v>219</v>
      </c>
      <c r="E59" t="s">
        <v>70</v>
      </c>
      <c r="F59" t="s">
        <v>3</v>
      </c>
      <c r="G59" t="s">
        <v>40</v>
      </c>
      <c r="H59" t="s">
        <v>1</v>
      </c>
      <c r="I59" t="s">
        <v>193</v>
      </c>
      <c r="J59">
        <v>1</v>
      </c>
      <c r="K59" t="s">
        <v>220</v>
      </c>
      <c r="L59">
        <v>7</v>
      </c>
      <c r="M59">
        <v>14</v>
      </c>
      <c r="N59">
        <v>0.5</v>
      </c>
      <c r="O59">
        <v>2</v>
      </c>
      <c r="P59">
        <v>4</v>
      </c>
      <c r="Q59">
        <v>0.5</v>
      </c>
      <c r="R59">
        <v>0</v>
      </c>
      <c r="S59">
        <v>0</v>
      </c>
      <c r="U59">
        <v>0</v>
      </c>
      <c r="V59">
        <v>4</v>
      </c>
      <c r="W59">
        <v>4</v>
      </c>
      <c r="X59">
        <v>2</v>
      </c>
      <c r="Y59">
        <v>0</v>
      </c>
      <c r="Z59">
        <v>0</v>
      </c>
      <c r="AA59">
        <v>1</v>
      </c>
      <c r="AB59">
        <v>1</v>
      </c>
      <c r="AC59">
        <v>16</v>
      </c>
      <c r="AD59">
        <v>10.199999999999999</v>
      </c>
      <c r="AE59">
        <v>-13</v>
      </c>
      <c r="AF59" t="s">
        <v>12</v>
      </c>
    </row>
    <row r="60" spans="1:32" x14ac:dyDescent="0.2">
      <c r="A60">
        <v>14</v>
      </c>
      <c r="B60">
        <v>14</v>
      </c>
      <c r="C60" s="1">
        <v>44513</v>
      </c>
      <c r="D60" t="s">
        <v>221</v>
      </c>
      <c r="E60" t="s">
        <v>70</v>
      </c>
      <c r="F60" t="s">
        <v>3</v>
      </c>
      <c r="G60" t="s">
        <v>24</v>
      </c>
      <c r="H60" t="s">
        <v>0</v>
      </c>
      <c r="I60" t="s">
        <v>98</v>
      </c>
      <c r="J60">
        <v>1</v>
      </c>
      <c r="K60" t="s">
        <v>222</v>
      </c>
      <c r="L60">
        <v>10</v>
      </c>
      <c r="M60">
        <v>15</v>
      </c>
      <c r="N60">
        <v>0.66700000000000004</v>
      </c>
      <c r="O60">
        <v>3</v>
      </c>
      <c r="P60">
        <v>4</v>
      </c>
      <c r="Q60">
        <v>0.75</v>
      </c>
      <c r="R60">
        <v>1</v>
      </c>
      <c r="S60">
        <v>1</v>
      </c>
      <c r="T60">
        <v>1</v>
      </c>
      <c r="U60">
        <v>1</v>
      </c>
      <c r="V60">
        <v>1</v>
      </c>
      <c r="W60">
        <v>2</v>
      </c>
      <c r="X60">
        <v>3</v>
      </c>
      <c r="Y60">
        <v>0</v>
      </c>
      <c r="Z60">
        <v>0</v>
      </c>
      <c r="AA60">
        <v>1</v>
      </c>
      <c r="AB60">
        <v>5</v>
      </c>
      <c r="AC60">
        <v>24</v>
      </c>
      <c r="AD60">
        <v>17.600000000000001</v>
      </c>
      <c r="AE60">
        <v>-4</v>
      </c>
      <c r="AF60" t="s">
        <v>12</v>
      </c>
    </row>
    <row r="61" spans="1:32" x14ac:dyDescent="0.2">
      <c r="A61">
        <v>13</v>
      </c>
      <c r="B61">
        <v>13</v>
      </c>
      <c r="C61" s="1">
        <v>44511</v>
      </c>
      <c r="D61" t="s">
        <v>223</v>
      </c>
      <c r="E61" t="s">
        <v>70</v>
      </c>
      <c r="F61" t="s">
        <v>2</v>
      </c>
      <c r="G61" t="s">
        <v>39</v>
      </c>
      <c r="H61" t="s">
        <v>0</v>
      </c>
      <c r="I61" t="s">
        <v>224</v>
      </c>
      <c r="J61">
        <v>1</v>
      </c>
      <c r="K61" t="s">
        <v>225</v>
      </c>
      <c r="L61">
        <v>12</v>
      </c>
      <c r="M61">
        <v>19</v>
      </c>
      <c r="N61">
        <v>0.63200000000000001</v>
      </c>
      <c r="O61">
        <v>1</v>
      </c>
      <c r="P61">
        <v>3</v>
      </c>
      <c r="Q61">
        <v>0.33300000000000002</v>
      </c>
      <c r="R61">
        <v>8</v>
      </c>
      <c r="S61">
        <v>8</v>
      </c>
      <c r="T61">
        <v>1</v>
      </c>
      <c r="U61">
        <v>0</v>
      </c>
      <c r="V61">
        <v>4</v>
      </c>
      <c r="W61">
        <v>4</v>
      </c>
      <c r="X61">
        <v>5</v>
      </c>
      <c r="Y61">
        <v>1</v>
      </c>
      <c r="Z61">
        <v>2</v>
      </c>
      <c r="AA61">
        <v>2</v>
      </c>
      <c r="AB61">
        <v>2</v>
      </c>
      <c r="AC61">
        <v>33</v>
      </c>
      <c r="AD61">
        <v>28.8</v>
      </c>
      <c r="AE61">
        <v>-9</v>
      </c>
      <c r="AF61" t="s">
        <v>12</v>
      </c>
    </row>
    <row r="62" spans="1:32" x14ac:dyDescent="0.2">
      <c r="A62">
        <v>12</v>
      </c>
      <c r="B62">
        <v>12</v>
      </c>
      <c r="C62" s="1">
        <v>44509</v>
      </c>
      <c r="D62" t="s">
        <v>226</v>
      </c>
      <c r="E62" t="s">
        <v>70</v>
      </c>
      <c r="F62" t="s">
        <v>2</v>
      </c>
      <c r="G62" t="s">
        <v>29</v>
      </c>
      <c r="H62" t="s">
        <v>1</v>
      </c>
      <c r="I62" t="s">
        <v>148</v>
      </c>
      <c r="J62">
        <v>1</v>
      </c>
      <c r="K62" t="s">
        <v>227</v>
      </c>
      <c r="L62">
        <v>12</v>
      </c>
      <c r="M62">
        <v>24</v>
      </c>
      <c r="N62">
        <v>0.5</v>
      </c>
      <c r="O62">
        <v>4</v>
      </c>
      <c r="P62">
        <v>9</v>
      </c>
      <c r="Q62">
        <v>0.44400000000000001</v>
      </c>
      <c r="R62">
        <v>3</v>
      </c>
      <c r="S62">
        <v>3</v>
      </c>
      <c r="T62">
        <v>1</v>
      </c>
      <c r="U62">
        <v>1</v>
      </c>
      <c r="V62">
        <v>4</v>
      </c>
      <c r="W62">
        <v>5</v>
      </c>
      <c r="X62">
        <v>4</v>
      </c>
      <c r="Y62">
        <v>1</v>
      </c>
      <c r="Z62">
        <v>1</v>
      </c>
      <c r="AA62">
        <v>0</v>
      </c>
      <c r="AB62">
        <v>2</v>
      </c>
      <c r="AC62">
        <v>31</v>
      </c>
      <c r="AD62">
        <v>24.6</v>
      </c>
      <c r="AE62">
        <v>-8</v>
      </c>
      <c r="AF62" t="s">
        <v>12</v>
      </c>
    </row>
    <row r="63" spans="1:32" x14ac:dyDescent="0.2">
      <c r="A63">
        <v>11</v>
      </c>
      <c r="B63">
        <v>11</v>
      </c>
      <c r="C63" s="1">
        <v>44508</v>
      </c>
      <c r="D63" t="s">
        <v>228</v>
      </c>
      <c r="E63" t="s">
        <v>70</v>
      </c>
      <c r="F63" t="s">
        <v>2</v>
      </c>
      <c r="G63" t="s">
        <v>32</v>
      </c>
      <c r="H63" t="s">
        <v>0</v>
      </c>
      <c r="I63" t="s">
        <v>214</v>
      </c>
      <c r="J63">
        <v>1</v>
      </c>
      <c r="K63" t="s">
        <v>229</v>
      </c>
      <c r="L63">
        <v>6</v>
      </c>
      <c r="M63">
        <v>19</v>
      </c>
      <c r="N63">
        <v>0.316</v>
      </c>
      <c r="O63">
        <v>3</v>
      </c>
      <c r="P63">
        <v>6</v>
      </c>
      <c r="Q63">
        <v>0.5</v>
      </c>
      <c r="R63">
        <v>1</v>
      </c>
      <c r="S63">
        <v>2</v>
      </c>
      <c r="T63">
        <v>0.5</v>
      </c>
      <c r="U63">
        <v>1</v>
      </c>
      <c r="V63">
        <v>8</v>
      </c>
      <c r="W63">
        <v>9</v>
      </c>
      <c r="X63">
        <v>5</v>
      </c>
      <c r="Y63">
        <v>2</v>
      </c>
      <c r="Z63">
        <v>1</v>
      </c>
      <c r="AA63">
        <v>0</v>
      </c>
      <c r="AB63">
        <v>3</v>
      </c>
      <c r="AC63">
        <v>16</v>
      </c>
      <c r="AD63">
        <v>12.8</v>
      </c>
      <c r="AE63">
        <v>5</v>
      </c>
      <c r="AF63" t="s">
        <v>12</v>
      </c>
    </row>
    <row r="64" spans="1:32" x14ac:dyDescent="0.2">
      <c r="A64">
        <v>10</v>
      </c>
      <c r="B64">
        <v>10</v>
      </c>
      <c r="C64" s="1">
        <v>44506</v>
      </c>
      <c r="D64" t="s">
        <v>230</v>
      </c>
      <c r="E64" t="s">
        <v>70</v>
      </c>
      <c r="F64" t="s">
        <v>3</v>
      </c>
      <c r="G64" t="s">
        <v>16</v>
      </c>
      <c r="H64" t="s">
        <v>1</v>
      </c>
      <c r="I64" t="s">
        <v>71</v>
      </c>
      <c r="J64">
        <v>1</v>
      </c>
      <c r="K64" t="s">
        <v>231</v>
      </c>
      <c r="L64">
        <v>5</v>
      </c>
      <c r="M64">
        <v>9</v>
      </c>
      <c r="N64">
        <v>0.55600000000000005</v>
      </c>
      <c r="O64">
        <v>0</v>
      </c>
      <c r="P64">
        <v>1</v>
      </c>
      <c r="Q64">
        <v>0</v>
      </c>
      <c r="R64">
        <v>0</v>
      </c>
      <c r="S64">
        <v>0</v>
      </c>
      <c r="U64">
        <v>0</v>
      </c>
      <c r="V64">
        <v>3</v>
      </c>
      <c r="W64">
        <v>3</v>
      </c>
      <c r="X64">
        <v>8</v>
      </c>
      <c r="Y64">
        <v>1</v>
      </c>
      <c r="Z64">
        <v>1</v>
      </c>
      <c r="AA64">
        <v>1</v>
      </c>
      <c r="AB64">
        <v>1</v>
      </c>
      <c r="AC64">
        <v>10</v>
      </c>
      <c r="AD64">
        <v>12.5</v>
      </c>
      <c r="AE64">
        <v>3</v>
      </c>
      <c r="AF64" t="s">
        <v>4</v>
      </c>
    </row>
    <row r="65" spans="1:32" x14ac:dyDescent="0.2">
      <c r="A65">
        <v>9</v>
      </c>
      <c r="B65">
        <v>9</v>
      </c>
      <c r="C65" s="1">
        <v>44504</v>
      </c>
      <c r="D65" t="s">
        <v>232</v>
      </c>
      <c r="E65" t="s">
        <v>70</v>
      </c>
      <c r="F65" t="s">
        <v>3</v>
      </c>
      <c r="G65" t="s">
        <v>21</v>
      </c>
      <c r="H65" t="s">
        <v>0</v>
      </c>
      <c r="I65" t="s">
        <v>145</v>
      </c>
      <c r="J65">
        <v>1</v>
      </c>
      <c r="K65" t="s">
        <v>233</v>
      </c>
      <c r="L65">
        <v>8</v>
      </c>
      <c r="M65">
        <v>12</v>
      </c>
      <c r="N65">
        <v>0.66700000000000004</v>
      </c>
      <c r="O65">
        <v>2</v>
      </c>
      <c r="P65">
        <v>4</v>
      </c>
      <c r="Q65">
        <v>0.5</v>
      </c>
      <c r="R65">
        <v>2</v>
      </c>
      <c r="S65">
        <v>2</v>
      </c>
      <c r="T65">
        <v>1</v>
      </c>
      <c r="U65">
        <v>0</v>
      </c>
      <c r="V65">
        <v>4</v>
      </c>
      <c r="W65">
        <v>4</v>
      </c>
      <c r="X65">
        <v>5</v>
      </c>
      <c r="Y65">
        <v>2</v>
      </c>
      <c r="Z65">
        <v>0</v>
      </c>
      <c r="AA65">
        <v>1</v>
      </c>
      <c r="AB65">
        <v>2</v>
      </c>
      <c r="AC65">
        <v>20</v>
      </c>
      <c r="AD65">
        <v>19.7</v>
      </c>
      <c r="AE65">
        <v>3</v>
      </c>
      <c r="AF65" t="s">
        <v>4</v>
      </c>
    </row>
    <row r="66" spans="1:32" x14ac:dyDescent="0.2">
      <c r="A66">
        <v>8</v>
      </c>
      <c r="B66">
        <v>8</v>
      </c>
      <c r="C66" s="1">
        <v>44503</v>
      </c>
      <c r="D66" t="s">
        <v>234</v>
      </c>
      <c r="E66" t="s">
        <v>70</v>
      </c>
      <c r="F66" t="s">
        <v>2</v>
      </c>
      <c r="G66" t="s">
        <v>16</v>
      </c>
      <c r="H66" t="s">
        <v>1</v>
      </c>
      <c r="I66" t="s">
        <v>92</v>
      </c>
      <c r="J66">
        <v>1</v>
      </c>
      <c r="K66" t="s">
        <v>235</v>
      </c>
      <c r="L66">
        <v>5</v>
      </c>
      <c r="M66">
        <v>10</v>
      </c>
      <c r="N66">
        <v>0.5</v>
      </c>
      <c r="O66">
        <v>0</v>
      </c>
      <c r="P66">
        <v>0</v>
      </c>
      <c r="R66">
        <v>4</v>
      </c>
      <c r="S66">
        <v>6</v>
      </c>
      <c r="T66">
        <v>0.66700000000000004</v>
      </c>
      <c r="U66">
        <v>0</v>
      </c>
      <c r="V66">
        <v>1</v>
      </c>
      <c r="W66">
        <v>1</v>
      </c>
      <c r="X66">
        <v>6</v>
      </c>
      <c r="Y66">
        <v>0</v>
      </c>
      <c r="Z66">
        <v>0</v>
      </c>
      <c r="AA66">
        <v>0</v>
      </c>
      <c r="AB66">
        <v>2</v>
      </c>
      <c r="AC66">
        <v>14</v>
      </c>
      <c r="AD66">
        <v>11.9</v>
      </c>
      <c r="AE66">
        <v>4</v>
      </c>
      <c r="AF66" t="s">
        <v>4</v>
      </c>
    </row>
    <row r="67" spans="1:32" x14ac:dyDescent="0.2">
      <c r="A67">
        <v>7</v>
      </c>
      <c r="B67">
        <v>7</v>
      </c>
      <c r="C67" s="1">
        <v>44501</v>
      </c>
      <c r="D67" t="s">
        <v>236</v>
      </c>
      <c r="E67" t="s">
        <v>70</v>
      </c>
      <c r="F67" t="s">
        <v>2</v>
      </c>
      <c r="G67" t="s">
        <v>36</v>
      </c>
      <c r="H67" t="s">
        <v>0</v>
      </c>
      <c r="I67" t="s">
        <v>101</v>
      </c>
      <c r="J67">
        <v>1</v>
      </c>
      <c r="K67" t="s">
        <v>237</v>
      </c>
      <c r="L67">
        <v>4</v>
      </c>
      <c r="M67">
        <v>8</v>
      </c>
      <c r="N67">
        <v>0.5</v>
      </c>
      <c r="O67">
        <v>0</v>
      </c>
      <c r="P67">
        <v>0</v>
      </c>
      <c r="R67">
        <v>2</v>
      </c>
      <c r="S67">
        <v>3</v>
      </c>
      <c r="T67">
        <v>0.66700000000000004</v>
      </c>
      <c r="U67">
        <v>0</v>
      </c>
      <c r="V67">
        <v>1</v>
      </c>
      <c r="W67">
        <v>1</v>
      </c>
      <c r="X67">
        <v>7</v>
      </c>
      <c r="Y67">
        <v>1</v>
      </c>
      <c r="Z67">
        <v>0</v>
      </c>
      <c r="AA67">
        <v>3</v>
      </c>
      <c r="AB67">
        <v>1</v>
      </c>
      <c r="AC67">
        <v>10</v>
      </c>
      <c r="AD67">
        <v>8.4</v>
      </c>
      <c r="AE67">
        <v>11</v>
      </c>
      <c r="AF67" t="s">
        <v>4</v>
      </c>
    </row>
    <row r="68" spans="1:32" x14ac:dyDescent="0.2">
      <c r="A68">
        <v>6</v>
      </c>
      <c r="B68">
        <v>6</v>
      </c>
      <c r="C68" s="1">
        <v>44499</v>
      </c>
      <c r="D68" t="s">
        <v>238</v>
      </c>
      <c r="E68" t="s">
        <v>70</v>
      </c>
      <c r="F68" t="s">
        <v>2</v>
      </c>
      <c r="G68" t="s">
        <v>13</v>
      </c>
      <c r="H68" t="s">
        <v>0</v>
      </c>
      <c r="I68" t="s">
        <v>239</v>
      </c>
      <c r="J68">
        <v>1</v>
      </c>
      <c r="K68" t="s">
        <v>240</v>
      </c>
      <c r="L68">
        <v>6</v>
      </c>
      <c r="M68">
        <v>8</v>
      </c>
      <c r="N68">
        <v>0.75</v>
      </c>
      <c r="O68">
        <v>1</v>
      </c>
      <c r="P68">
        <v>2</v>
      </c>
      <c r="Q68">
        <v>0.5</v>
      </c>
      <c r="R68">
        <v>3</v>
      </c>
      <c r="S68">
        <v>3</v>
      </c>
      <c r="T68">
        <v>1</v>
      </c>
      <c r="U68">
        <v>0</v>
      </c>
      <c r="V68">
        <v>0</v>
      </c>
      <c r="W68">
        <v>0</v>
      </c>
      <c r="X68">
        <v>3</v>
      </c>
      <c r="Y68">
        <v>1</v>
      </c>
      <c r="Z68">
        <v>1</v>
      </c>
      <c r="AA68">
        <v>2</v>
      </c>
      <c r="AB68">
        <v>3</v>
      </c>
      <c r="AC68">
        <v>16</v>
      </c>
      <c r="AD68">
        <v>13.4</v>
      </c>
      <c r="AE68">
        <v>14</v>
      </c>
      <c r="AF68" t="s">
        <v>4</v>
      </c>
    </row>
    <row r="69" spans="1:32" x14ac:dyDescent="0.2">
      <c r="A69">
        <v>5</v>
      </c>
      <c r="B69">
        <v>5</v>
      </c>
      <c r="C69" s="1">
        <v>44497</v>
      </c>
      <c r="D69" t="s">
        <v>241</v>
      </c>
      <c r="E69" t="s">
        <v>70</v>
      </c>
      <c r="F69" t="s">
        <v>2</v>
      </c>
      <c r="G69" t="s">
        <v>21</v>
      </c>
      <c r="H69" t="s">
        <v>0</v>
      </c>
      <c r="I69" t="s">
        <v>181</v>
      </c>
      <c r="J69">
        <v>1</v>
      </c>
      <c r="K69" t="s">
        <v>242</v>
      </c>
      <c r="L69">
        <v>6</v>
      </c>
      <c r="M69">
        <v>8</v>
      </c>
      <c r="N69">
        <v>0.75</v>
      </c>
      <c r="O69">
        <v>2</v>
      </c>
      <c r="P69">
        <v>2</v>
      </c>
      <c r="Q69">
        <v>1</v>
      </c>
      <c r="R69">
        <v>2</v>
      </c>
      <c r="S69">
        <v>2</v>
      </c>
      <c r="T69">
        <v>1</v>
      </c>
      <c r="U69">
        <v>0</v>
      </c>
      <c r="V69">
        <v>6</v>
      </c>
      <c r="W69">
        <v>6</v>
      </c>
      <c r="X69">
        <v>6</v>
      </c>
      <c r="Y69">
        <v>0</v>
      </c>
      <c r="Z69">
        <v>2</v>
      </c>
      <c r="AA69">
        <v>4</v>
      </c>
      <c r="AB69">
        <v>2</v>
      </c>
      <c r="AC69">
        <v>16</v>
      </c>
      <c r="AD69">
        <v>15.4</v>
      </c>
      <c r="AE69">
        <v>19</v>
      </c>
      <c r="AF69" t="s">
        <v>4</v>
      </c>
    </row>
    <row r="70" spans="1:32" x14ac:dyDescent="0.2">
      <c r="A70">
        <v>4</v>
      </c>
      <c r="B70">
        <v>4</v>
      </c>
      <c r="C70" s="1">
        <v>44495</v>
      </c>
      <c r="D70" t="s">
        <v>243</v>
      </c>
      <c r="E70" t="s">
        <v>70</v>
      </c>
      <c r="F70" t="s">
        <v>3</v>
      </c>
      <c r="G70" t="s">
        <v>32</v>
      </c>
      <c r="H70" t="s">
        <v>0</v>
      </c>
      <c r="I70" t="s">
        <v>244</v>
      </c>
      <c r="J70">
        <v>1</v>
      </c>
      <c r="K70" t="s">
        <v>194</v>
      </c>
      <c r="L70">
        <v>3</v>
      </c>
      <c r="M70">
        <v>9</v>
      </c>
      <c r="N70">
        <v>0.33300000000000002</v>
      </c>
      <c r="O70">
        <v>0</v>
      </c>
      <c r="P70">
        <v>3</v>
      </c>
      <c r="Q70">
        <v>0</v>
      </c>
      <c r="R70">
        <v>1</v>
      </c>
      <c r="S70">
        <v>1</v>
      </c>
      <c r="T70">
        <v>1</v>
      </c>
      <c r="U70">
        <v>0</v>
      </c>
      <c r="V70">
        <v>2</v>
      </c>
      <c r="W70">
        <v>2</v>
      </c>
      <c r="X70">
        <v>3</v>
      </c>
      <c r="Y70">
        <v>1</v>
      </c>
      <c r="Z70">
        <v>0</v>
      </c>
      <c r="AA70">
        <v>2</v>
      </c>
      <c r="AB70">
        <v>2</v>
      </c>
      <c r="AC70">
        <v>7</v>
      </c>
      <c r="AD70">
        <v>2.8</v>
      </c>
      <c r="AE70">
        <v>-9</v>
      </c>
      <c r="AF70" t="s">
        <v>12</v>
      </c>
    </row>
    <row r="71" spans="1:32" x14ac:dyDescent="0.2">
      <c r="A71">
        <v>3</v>
      </c>
      <c r="B71">
        <v>3</v>
      </c>
      <c r="C71" s="1">
        <v>44493</v>
      </c>
      <c r="D71" t="s">
        <v>245</v>
      </c>
      <c r="E71" t="s">
        <v>70</v>
      </c>
      <c r="F71" t="s">
        <v>3</v>
      </c>
      <c r="G71" t="s">
        <v>33</v>
      </c>
      <c r="H71" t="s">
        <v>0</v>
      </c>
      <c r="I71" t="s">
        <v>175</v>
      </c>
      <c r="J71">
        <v>1</v>
      </c>
      <c r="K71" t="s">
        <v>246</v>
      </c>
      <c r="L71">
        <v>4</v>
      </c>
      <c r="M71">
        <v>13</v>
      </c>
      <c r="N71">
        <v>0.308</v>
      </c>
      <c r="O71">
        <v>0</v>
      </c>
      <c r="P71">
        <v>4</v>
      </c>
      <c r="Q71">
        <v>0</v>
      </c>
      <c r="R71">
        <v>6</v>
      </c>
      <c r="S71">
        <v>7</v>
      </c>
      <c r="T71">
        <v>0.85699999999999998</v>
      </c>
      <c r="U71">
        <v>3</v>
      </c>
      <c r="V71">
        <v>2</v>
      </c>
      <c r="W71">
        <v>5</v>
      </c>
      <c r="X71">
        <v>2</v>
      </c>
      <c r="Y71">
        <v>0</v>
      </c>
      <c r="Z71">
        <v>1</v>
      </c>
      <c r="AA71">
        <v>3</v>
      </c>
      <c r="AB71">
        <v>5</v>
      </c>
      <c r="AC71">
        <v>14</v>
      </c>
      <c r="AD71">
        <v>5.9</v>
      </c>
      <c r="AE71">
        <v>-3</v>
      </c>
      <c r="AF71" t="s">
        <v>4</v>
      </c>
    </row>
    <row r="72" spans="1:32" x14ac:dyDescent="0.2">
      <c r="A72">
        <v>2</v>
      </c>
      <c r="B72">
        <v>2</v>
      </c>
      <c r="C72" s="1">
        <v>44491</v>
      </c>
      <c r="D72" t="s">
        <v>247</v>
      </c>
      <c r="E72" t="s">
        <v>70</v>
      </c>
      <c r="F72" t="s">
        <v>2</v>
      </c>
      <c r="G72" t="s">
        <v>15</v>
      </c>
      <c r="H72" t="s">
        <v>0</v>
      </c>
      <c r="I72" t="s">
        <v>98</v>
      </c>
      <c r="J72">
        <v>1</v>
      </c>
      <c r="K72" t="s">
        <v>248</v>
      </c>
      <c r="L72">
        <v>7</v>
      </c>
      <c r="M72">
        <v>17</v>
      </c>
      <c r="N72">
        <v>0.41199999999999998</v>
      </c>
      <c r="O72">
        <v>1</v>
      </c>
      <c r="P72">
        <v>5</v>
      </c>
      <c r="Q72">
        <v>0.2</v>
      </c>
      <c r="R72">
        <v>0</v>
      </c>
      <c r="S72">
        <v>0</v>
      </c>
      <c r="U72">
        <v>0</v>
      </c>
      <c r="V72">
        <v>2</v>
      </c>
      <c r="W72">
        <v>2</v>
      </c>
      <c r="X72">
        <v>2</v>
      </c>
      <c r="Y72">
        <v>1</v>
      </c>
      <c r="Z72">
        <v>0</v>
      </c>
      <c r="AA72">
        <v>0</v>
      </c>
      <c r="AB72">
        <v>3</v>
      </c>
      <c r="AC72">
        <v>15</v>
      </c>
      <c r="AD72">
        <v>7.7</v>
      </c>
      <c r="AE72">
        <v>-9</v>
      </c>
      <c r="AF72" t="s">
        <v>12</v>
      </c>
    </row>
    <row r="73" spans="1:32" x14ac:dyDescent="0.2">
      <c r="A73">
        <v>1</v>
      </c>
      <c r="B73">
        <v>1</v>
      </c>
      <c r="C73" s="1">
        <v>44489</v>
      </c>
      <c r="D73" t="s">
        <v>249</v>
      </c>
      <c r="E73" t="s">
        <v>70</v>
      </c>
      <c r="F73" t="s">
        <v>3</v>
      </c>
      <c r="G73" t="s">
        <v>31</v>
      </c>
      <c r="H73" t="s">
        <v>0</v>
      </c>
      <c r="I73" t="s">
        <v>250</v>
      </c>
      <c r="J73">
        <v>1</v>
      </c>
      <c r="K73" t="s">
        <v>251</v>
      </c>
      <c r="L73">
        <v>8</v>
      </c>
      <c r="M73">
        <v>14</v>
      </c>
      <c r="N73">
        <v>0.57099999999999995</v>
      </c>
      <c r="O73">
        <v>2</v>
      </c>
      <c r="P73">
        <v>3</v>
      </c>
      <c r="Q73">
        <v>0.66700000000000004</v>
      </c>
      <c r="R73">
        <v>2</v>
      </c>
      <c r="S73">
        <v>2</v>
      </c>
      <c r="T73">
        <v>1</v>
      </c>
      <c r="U73">
        <v>0</v>
      </c>
      <c r="V73">
        <v>7</v>
      </c>
      <c r="W73">
        <v>7</v>
      </c>
      <c r="X73">
        <v>5</v>
      </c>
      <c r="Y73">
        <v>0</v>
      </c>
      <c r="Z73">
        <v>0</v>
      </c>
      <c r="AA73">
        <v>1</v>
      </c>
      <c r="AB73">
        <v>2</v>
      </c>
      <c r="AC73">
        <v>20</v>
      </c>
      <c r="AD73">
        <v>17.2</v>
      </c>
      <c r="AE73">
        <v>23</v>
      </c>
      <c r="AF73" t="s">
        <v>4</v>
      </c>
    </row>
    <row r="74" spans="1:32" x14ac:dyDescent="0.2">
      <c r="A74">
        <v>72</v>
      </c>
      <c r="B74">
        <v>61</v>
      </c>
      <c r="C74" s="1">
        <v>44332</v>
      </c>
      <c r="D74" t="s">
        <v>252</v>
      </c>
      <c r="E74" t="s">
        <v>70</v>
      </c>
      <c r="F74" t="s">
        <v>2</v>
      </c>
      <c r="G74" t="s">
        <v>34</v>
      </c>
      <c r="H74" t="s">
        <v>0</v>
      </c>
      <c r="I74" t="s">
        <v>145</v>
      </c>
      <c r="J74">
        <v>1</v>
      </c>
      <c r="K74" t="s">
        <v>253</v>
      </c>
      <c r="L74">
        <v>11</v>
      </c>
      <c r="M74">
        <v>19</v>
      </c>
      <c r="N74">
        <v>0.57899999999999996</v>
      </c>
      <c r="O74">
        <v>3</v>
      </c>
      <c r="P74">
        <v>4</v>
      </c>
      <c r="Q74">
        <v>0.75</v>
      </c>
      <c r="R74">
        <v>5</v>
      </c>
      <c r="S74">
        <v>5</v>
      </c>
      <c r="T74">
        <v>1</v>
      </c>
      <c r="U74">
        <v>0</v>
      </c>
      <c r="V74">
        <v>7</v>
      </c>
      <c r="W74">
        <v>7</v>
      </c>
      <c r="X74">
        <v>6</v>
      </c>
      <c r="Y74">
        <v>1</v>
      </c>
      <c r="Z74">
        <v>1</v>
      </c>
      <c r="AA74">
        <v>1</v>
      </c>
      <c r="AB74">
        <v>4</v>
      </c>
      <c r="AC74">
        <v>30</v>
      </c>
      <c r="AD74">
        <v>26.5</v>
      </c>
      <c r="AE74">
        <v>16</v>
      </c>
      <c r="AF74" t="s">
        <v>4</v>
      </c>
    </row>
    <row r="75" spans="1:32" x14ac:dyDescent="0.2">
      <c r="A75">
        <v>71</v>
      </c>
      <c r="B75">
        <v>60</v>
      </c>
      <c r="C75" s="1">
        <v>44330</v>
      </c>
      <c r="D75" t="s">
        <v>254</v>
      </c>
      <c r="E75" t="s">
        <v>70</v>
      </c>
      <c r="F75" t="s">
        <v>2</v>
      </c>
      <c r="G75" t="s">
        <v>34</v>
      </c>
      <c r="H75" t="s">
        <v>0</v>
      </c>
      <c r="I75" t="s">
        <v>89</v>
      </c>
      <c r="J75">
        <v>0</v>
      </c>
      <c r="K75" t="s">
        <v>255</v>
      </c>
      <c r="L75">
        <v>3</v>
      </c>
      <c r="M75">
        <v>9</v>
      </c>
      <c r="N75">
        <v>0.33300000000000002</v>
      </c>
      <c r="O75">
        <v>0</v>
      </c>
      <c r="P75">
        <v>1</v>
      </c>
      <c r="Q75">
        <v>0</v>
      </c>
      <c r="R75">
        <v>2</v>
      </c>
      <c r="S75">
        <v>2</v>
      </c>
      <c r="T75">
        <v>1</v>
      </c>
      <c r="U75">
        <v>0</v>
      </c>
      <c r="V75">
        <v>5</v>
      </c>
      <c r="W75">
        <v>5</v>
      </c>
      <c r="X75">
        <v>6</v>
      </c>
      <c r="Y75">
        <v>2</v>
      </c>
      <c r="Z75">
        <v>0</v>
      </c>
      <c r="AA75">
        <v>0</v>
      </c>
      <c r="AB75">
        <v>4</v>
      </c>
      <c r="AC75">
        <v>8</v>
      </c>
      <c r="AD75">
        <v>9</v>
      </c>
      <c r="AE75">
        <v>11</v>
      </c>
      <c r="AF75" t="s">
        <v>4</v>
      </c>
    </row>
    <row r="76" spans="1:32" x14ac:dyDescent="0.2">
      <c r="A76">
        <v>70</v>
      </c>
      <c r="B76">
        <v>59</v>
      </c>
      <c r="C76" s="1">
        <v>44329</v>
      </c>
      <c r="D76" t="s">
        <v>256</v>
      </c>
      <c r="E76" t="s">
        <v>70</v>
      </c>
      <c r="F76" t="s">
        <v>3</v>
      </c>
      <c r="G76" t="s">
        <v>28</v>
      </c>
      <c r="H76" t="s">
        <v>1</v>
      </c>
      <c r="I76" t="s">
        <v>257</v>
      </c>
      <c r="J76">
        <v>0</v>
      </c>
      <c r="K76" t="s">
        <v>258</v>
      </c>
      <c r="L76">
        <v>3</v>
      </c>
      <c r="M76">
        <v>8</v>
      </c>
      <c r="N76">
        <v>0.375</v>
      </c>
      <c r="O76">
        <v>0</v>
      </c>
      <c r="P76">
        <v>2</v>
      </c>
      <c r="Q76">
        <v>0</v>
      </c>
      <c r="R76">
        <v>0</v>
      </c>
      <c r="S76">
        <v>0</v>
      </c>
      <c r="U76">
        <v>0</v>
      </c>
      <c r="V76">
        <v>0</v>
      </c>
      <c r="W76">
        <v>0</v>
      </c>
      <c r="X76">
        <v>4</v>
      </c>
      <c r="Y76">
        <v>1</v>
      </c>
      <c r="Z76">
        <v>0</v>
      </c>
      <c r="AA76">
        <v>1</v>
      </c>
      <c r="AB76">
        <v>2</v>
      </c>
      <c r="AC76">
        <v>6</v>
      </c>
      <c r="AD76">
        <v>3.6</v>
      </c>
      <c r="AE76">
        <v>7</v>
      </c>
      <c r="AF76" t="s">
        <v>12</v>
      </c>
    </row>
    <row r="77" spans="1:32" x14ac:dyDescent="0.2">
      <c r="A77">
        <v>69</v>
      </c>
      <c r="B77">
        <v>58</v>
      </c>
      <c r="C77" s="1">
        <v>44327</v>
      </c>
      <c r="D77" t="s">
        <v>259</v>
      </c>
      <c r="E77" t="s">
        <v>70</v>
      </c>
      <c r="F77" t="s">
        <v>3</v>
      </c>
      <c r="G77" t="s">
        <v>24</v>
      </c>
      <c r="H77" t="s">
        <v>0</v>
      </c>
      <c r="I77" t="s">
        <v>148</v>
      </c>
      <c r="J77">
        <v>0</v>
      </c>
      <c r="K77" t="s">
        <v>260</v>
      </c>
      <c r="L77">
        <v>4</v>
      </c>
      <c r="M77">
        <v>9</v>
      </c>
      <c r="N77">
        <v>0.44400000000000001</v>
      </c>
      <c r="O77">
        <v>0</v>
      </c>
      <c r="P77">
        <v>1</v>
      </c>
      <c r="Q77">
        <v>0</v>
      </c>
      <c r="R77">
        <v>3</v>
      </c>
      <c r="S77">
        <v>4</v>
      </c>
      <c r="T77">
        <v>0.75</v>
      </c>
      <c r="U77">
        <v>1</v>
      </c>
      <c r="V77">
        <v>1</v>
      </c>
      <c r="W77">
        <v>2</v>
      </c>
      <c r="X77">
        <v>3</v>
      </c>
      <c r="Y77">
        <v>1</v>
      </c>
      <c r="Z77">
        <v>2</v>
      </c>
      <c r="AA77">
        <v>1</v>
      </c>
      <c r="AB77">
        <v>2</v>
      </c>
      <c r="AC77">
        <v>11</v>
      </c>
      <c r="AD77">
        <v>9.6</v>
      </c>
      <c r="AE77">
        <v>-1</v>
      </c>
      <c r="AF77" t="s">
        <v>12</v>
      </c>
    </row>
    <row r="78" spans="1:32" x14ac:dyDescent="0.2">
      <c r="A78">
        <v>68</v>
      </c>
      <c r="B78">
        <v>57</v>
      </c>
      <c r="C78" s="1">
        <v>44324</v>
      </c>
      <c r="D78" t="s">
        <v>261</v>
      </c>
      <c r="E78" t="s">
        <v>70</v>
      </c>
      <c r="F78" t="s">
        <v>2</v>
      </c>
      <c r="G78" t="s">
        <v>21</v>
      </c>
      <c r="H78" t="s">
        <v>0</v>
      </c>
      <c r="I78" t="s">
        <v>217</v>
      </c>
      <c r="J78">
        <v>1</v>
      </c>
      <c r="K78" t="s">
        <v>262</v>
      </c>
      <c r="L78">
        <v>7</v>
      </c>
      <c r="M78">
        <v>11</v>
      </c>
      <c r="N78">
        <v>0.63600000000000001</v>
      </c>
      <c r="O78">
        <v>2</v>
      </c>
      <c r="P78">
        <v>3</v>
      </c>
      <c r="Q78">
        <v>0.66700000000000004</v>
      </c>
      <c r="R78">
        <v>6</v>
      </c>
      <c r="S78">
        <v>7</v>
      </c>
      <c r="T78">
        <v>0.85699999999999998</v>
      </c>
      <c r="U78">
        <v>0</v>
      </c>
      <c r="V78">
        <v>5</v>
      </c>
      <c r="W78">
        <v>5</v>
      </c>
      <c r="X78">
        <v>4</v>
      </c>
      <c r="Y78">
        <v>2</v>
      </c>
      <c r="Z78">
        <v>1</v>
      </c>
      <c r="AA78">
        <v>1</v>
      </c>
      <c r="AB78">
        <v>2</v>
      </c>
      <c r="AC78">
        <v>22</v>
      </c>
      <c r="AD78">
        <v>21.9</v>
      </c>
      <c r="AE78">
        <v>25</v>
      </c>
      <c r="AF78" t="s">
        <v>4</v>
      </c>
    </row>
    <row r="79" spans="1:32" x14ac:dyDescent="0.2">
      <c r="A79">
        <v>66</v>
      </c>
      <c r="B79">
        <v>56</v>
      </c>
      <c r="C79" s="1">
        <v>44321</v>
      </c>
      <c r="D79" t="s">
        <v>263</v>
      </c>
      <c r="E79" t="s">
        <v>70</v>
      </c>
      <c r="F79" t="s">
        <v>3</v>
      </c>
      <c r="G79" t="s">
        <v>23</v>
      </c>
      <c r="H79" t="s">
        <v>0</v>
      </c>
      <c r="I79" t="s">
        <v>250</v>
      </c>
      <c r="J79">
        <v>0</v>
      </c>
      <c r="K79" t="s">
        <v>264</v>
      </c>
      <c r="L79">
        <v>4</v>
      </c>
      <c r="M79">
        <v>9</v>
      </c>
      <c r="N79">
        <v>0.44400000000000001</v>
      </c>
      <c r="O79">
        <v>2</v>
      </c>
      <c r="P79">
        <v>4</v>
      </c>
      <c r="Q79">
        <v>0.5</v>
      </c>
      <c r="R79">
        <v>2</v>
      </c>
      <c r="S79">
        <v>2</v>
      </c>
      <c r="T79">
        <v>1</v>
      </c>
      <c r="U79">
        <v>1</v>
      </c>
      <c r="V79">
        <v>3</v>
      </c>
      <c r="W79">
        <v>4</v>
      </c>
      <c r="X79">
        <v>7</v>
      </c>
      <c r="Y79">
        <v>0</v>
      </c>
      <c r="Z79">
        <v>0</v>
      </c>
      <c r="AA79">
        <v>3</v>
      </c>
      <c r="AB79">
        <v>0</v>
      </c>
      <c r="AC79">
        <v>12</v>
      </c>
      <c r="AD79">
        <v>10.8</v>
      </c>
      <c r="AE79">
        <v>4</v>
      </c>
      <c r="AF79" t="s">
        <v>4</v>
      </c>
    </row>
    <row r="80" spans="1:32" x14ac:dyDescent="0.2">
      <c r="A80">
        <v>65</v>
      </c>
      <c r="B80">
        <v>55</v>
      </c>
      <c r="C80" s="1">
        <v>44319</v>
      </c>
      <c r="D80" t="s">
        <v>265</v>
      </c>
      <c r="E80" t="s">
        <v>70</v>
      </c>
      <c r="F80" t="s">
        <v>3</v>
      </c>
      <c r="G80" t="s">
        <v>16</v>
      </c>
      <c r="H80" t="s">
        <v>1</v>
      </c>
      <c r="I80" t="s">
        <v>175</v>
      </c>
      <c r="J80">
        <v>0</v>
      </c>
      <c r="K80" t="s">
        <v>266</v>
      </c>
      <c r="L80">
        <v>0</v>
      </c>
      <c r="M80">
        <v>2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-1.4</v>
      </c>
      <c r="AE80">
        <v>-6</v>
      </c>
      <c r="AF80" t="s">
        <v>4</v>
      </c>
    </row>
    <row r="81" spans="1:32" x14ac:dyDescent="0.2">
      <c r="A81">
        <v>63</v>
      </c>
      <c r="B81">
        <v>54</v>
      </c>
      <c r="C81" s="1">
        <v>44316</v>
      </c>
      <c r="D81" t="s">
        <v>267</v>
      </c>
      <c r="E81" t="s">
        <v>70</v>
      </c>
      <c r="F81" t="s">
        <v>2</v>
      </c>
      <c r="G81" t="s">
        <v>13</v>
      </c>
      <c r="H81" t="s">
        <v>0</v>
      </c>
      <c r="I81" t="s">
        <v>268</v>
      </c>
      <c r="J81">
        <v>0</v>
      </c>
      <c r="K81" t="s">
        <v>269</v>
      </c>
      <c r="L81">
        <v>0</v>
      </c>
      <c r="M81">
        <v>2</v>
      </c>
      <c r="N81">
        <v>0</v>
      </c>
      <c r="O81">
        <v>0</v>
      </c>
      <c r="P81">
        <v>0</v>
      </c>
      <c r="R81">
        <v>0</v>
      </c>
      <c r="S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-0.7</v>
      </c>
      <c r="AE81">
        <v>-2</v>
      </c>
      <c r="AF81" t="s">
        <v>4</v>
      </c>
    </row>
    <row r="82" spans="1:32" x14ac:dyDescent="0.2">
      <c r="A82">
        <v>62</v>
      </c>
      <c r="B82">
        <v>53</v>
      </c>
      <c r="C82" s="1">
        <v>44314</v>
      </c>
      <c r="D82" t="s">
        <v>270</v>
      </c>
      <c r="E82" t="s">
        <v>70</v>
      </c>
      <c r="F82" t="s">
        <v>2</v>
      </c>
      <c r="G82" t="s">
        <v>13</v>
      </c>
      <c r="H82" t="s">
        <v>0</v>
      </c>
      <c r="I82" t="s">
        <v>271</v>
      </c>
      <c r="J82">
        <v>0</v>
      </c>
      <c r="K82" t="s">
        <v>272</v>
      </c>
      <c r="L82">
        <v>5</v>
      </c>
      <c r="M82">
        <v>6</v>
      </c>
      <c r="N82">
        <v>0.83299999999999996</v>
      </c>
      <c r="O82">
        <v>1</v>
      </c>
      <c r="P82">
        <v>2</v>
      </c>
      <c r="Q82">
        <v>0.5</v>
      </c>
      <c r="R82">
        <v>0</v>
      </c>
      <c r="S82">
        <v>0</v>
      </c>
      <c r="U82">
        <v>0</v>
      </c>
      <c r="V82">
        <v>2</v>
      </c>
      <c r="W82">
        <v>2</v>
      </c>
      <c r="X82">
        <v>2</v>
      </c>
      <c r="Y82">
        <v>0</v>
      </c>
      <c r="Z82">
        <v>0</v>
      </c>
      <c r="AA82">
        <v>0</v>
      </c>
      <c r="AB82">
        <v>1</v>
      </c>
      <c r="AC82">
        <v>11</v>
      </c>
      <c r="AD82">
        <v>10.4</v>
      </c>
      <c r="AE82">
        <v>16</v>
      </c>
      <c r="AF82" t="s">
        <v>4</v>
      </c>
    </row>
    <row r="83" spans="1:32" x14ac:dyDescent="0.2">
      <c r="A83">
        <v>61</v>
      </c>
      <c r="B83">
        <v>52</v>
      </c>
      <c r="C83" s="1">
        <v>44312</v>
      </c>
      <c r="D83" t="s">
        <v>273</v>
      </c>
      <c r="E83" t="s">
        <v>70</v>
      </c>
      <c r="F83" t="s">
        <v>2</v>
      </c>
      <c r="G83" t="s">
        <v>33</v>
      </c>
      <c r="H83" t="s">
        <v>0</v>
      </c>
      <c r="I83" t="s">
        <v>129</v>
      </c>
      <c r="J83">
        <v>0</v>
      </c>
      <c r="K83" t="s">
        <v>274</v>
      </c>
      <c r="L83">
        <v>5</v>
      </c>
      <c r="M83">
        <v>5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  <c r="U83">
        <v>0</v>
      </c>
      <c r="V83">
        <v>1</v>
      </c>
      <c r="W83">
        <v>1</v>
      </c>
      <c r="X83">
        <v>4</v>
      </c>
      <c r="Y83">
        <v>0</v>
      </c>
      <c r="Z83">
        <v>0</v>
      </c>
      <c r="AA83">
        <v>1</v>
      </c>
      <c r="AB83">
        <v>2</v>
      </c>
      <c r="AC83">
        <v>11</v>
      </c>
      <c r="AD83">
        <v>10.8</v>
      </c>
      <c r="AE83">
        <v>4</v>
      </c>
      <c r="AF83" t="s">
        <v>4</v>
      </c>
    </row>
    <row r="84" spans="1:32" x14ac:dyDescent="0.2">
      <c r="A84">
        <v>60</v>
      </c>
      <c r="B84">
        <v>51</v>
      </c>
      <c r="C84" s="1">
        <v>44310</v>
      </c>
      <c r="D84" t="s">
        <v>275</v>
      </c>
      <c r="E84" t="s">
        <v>70</v>
      </c>
      <c r="F84" t="s">
        <v>3</v>
      </c>
      <c r="G84" t="s">
        <v>29</v>
      </c>
      <c r="H84" t="s">
        <v>1</v>
      </c>
      <c r="I84" t="s">
        <v>276</v>
      </c>
      <c r="J84">
        <v>0</v>
      </c>
      <c r="K84" t="s">
        <v>277</v>
      </c>
      <c r="L84">
        <v>5</v>
      </c>
      <c r="M84">
        <v>13</v>
      </c>
      <c r="N84">
        <v>0.38500000000000001</v>
      </c>
      <c r="O84">
        <v>0</v>
      </c>
      <c r="P84">
        <v>5</v>
      </c>
      <c r="Q84">
        <v>0</v>
      </c>
      <c r="R84">
        <v>5</v>
      </c>
      <c r="S84">
        <v>6</v>
      </c>
      <c r="T84">
        <v>0.83299999999999996</v>
      </c>
      <c r="U84">
        <v>0</v>
      </c>
      <c r="V84">
        <v>2</v>
      </c>
      <c r="W84">
        <v>2</v>
      </c>
      <c r="X84">
        <v>0</v>
      </c>
      <c r="Y84">
        <v>0</v>
      </c>
      <c r="Z84">
        <v>1</v>
      </c>
      <c r="AA84">
        <v>1</v>
      </c>
      <c r="AB84">
        <v>1</v>
      </c>
      <c r="AC84">
        <v>15</v>
      </c>
      <c r="AD84">
        <v>7.4</v>
      </c>
      <c r="AE84">
        <v>-14</v>
      </c>
      <c r="AF84" t="s">
        <v>12</v>
      </c>
    </row>
    <row r="85" spans="1:32" x14ac:dyDescent="0.2">
      <c r="A85">
        <v>59</v>
      </c>
      <c r="B85">
        <v>50</v>
      </c>
      <c r="C85" s="1">
        <v>44308</v>
      </c>
      <c r="D85" t="s">
        <v>278</v>
      </c>
      <c r="E85" t="s">
        <v>70</v>
      </c>
      <c r="F85" t="s">
        <v>3</v>
      </c>
      <c r="G85" t="s">
        <v>29</v>
      </c>
      <c r="H85" t="s">
        <v>1</v>
      </c>
      <c r="I85" t="s">
        <v>214</v>
      </c>
      <c r="J85">
        <v>0</v>
      </c>
      <c r="K85" t="s">
        <v>279</v>
      </c>
      <c r="L85">
        <v>4</v>
      </c>
      <c r="M85">
        <v>11</v>
      </c>
      <c r="N85">
        <v>0.36399999999999999</v>
      </c>
      <c r="O85">
        <v>2</v>
      </c>
      <c r="P85">
        <v>4</v>
      </c>
      <c r="Q85">
        <v>0.5</v>
      </c>
      <c r="R85">
        <v>1</v>
      </c>
      <c r="S85">
        <v>2</v>
      </c>
      <c r="T85">
        <v>0.5</v>
      </c>
      <c r="U85">
        <v>0</v>
      </c>
      <c r="V85">
        <v>0</v>
      </c>
      <c r="W85">
        <v>0</v>
      </c>
      <c r="X85">
        <v>5</v>
      </c>
      <c r="Y85">
        <v>1</v>
      </c>
      <c r="Z85">
        <v>0</v>
      </c>
      <c r="AA85">
        <v>2</v>
      </c>
      <c r="AB85">
        <v>4</v>
      </c>
      <c r="AC85">
        <v>11</v>
      </c>
      <c r="AD85">
        <v>5.4</v>
      </c>
      <c r="AE85">
        <v>6</v>
      </c>
      <c r="AF85" t="s">
        <v>12</v>
      </c>
    </row>
    <row r="86" spans="1:32" x14ac:dyDescent="0.2">
      <c r="A86">
        <v>58</v>
      </c>
      <c r="B86">
        <v>49</v>
      </c>
      <c r="C86" s="1">
        <v>44307</v>
      </c>
      <c r="D86" t="s">
        <v>280</v>
      </c>
      <c r="E86" t="s">
        <v>70</v>
      </c>
      <c r="F86" t="s">
        <v>2</v>
      </c>
      <c r="G86" t="s">
        <v>35</v>
      </c>
      <c r="H86" t="s">
        <v>1</v>
      </c>
      <c r="I86" t="s">
        <v>151</v>
      </c>
      <c r="J86">
        <v>0</v>
      </c>
      <c r="K86" t="s">
        <v>281</v>
      </c>
      <c r="L86">
        <v>5</v>
      </c>
      <c r="M86">
        <v>11</v>
      </c>
      <c r="N86">
        <v>0.45500000000000002</v>
      </c>
      <c r="O86">
        <v>0</v>
      </c>
      <c r="P86">
        <v>3</v>
      </c>
      <c r="Q86">
        <v>0</v>
      </c>
      <c r="R86">
        <v>4</v>
      </c>
      <c r="S86">
        <v>4</v>
      </c>
      <c r="T86">
        <v>1</v>
      </c>
      <c r="U86">
        <v>0</v>
      </c>
      <c r="V86">
        <v>3</v>
      </c>
      <c r="W86">
        <v>3</v>
      </c>
      <c r="X86">
        <v>3</v>
      </c>
      <c r="Y86">
        <v>2</v>
      </c>
      <c r="Z86">
        <v>1</v>
      </c>
      <c r="AA86">
        <v>1</v>
      </c>
      <c r="AB86">
        <v>2</v>
      </c>
      <c r="AC86">
        <v>14</v>
      </c>
      <c r="AD86">
        <v>12.2</v>
      </c>
      <c r="AE86">
        <v>4</v>
      </c>
      <c r="AF86" t="s">
        <v>12</v>
      </c>
    </row>
    <row r="87" spans="1:32" x14ac:dyDescent="0.2">
      <c r="A87">
        <v>57</v>
      </c>
      <c r="B87">
        <v>48</v>
      </c>
      <c r="C87" s="1">
        <v>44305</v>
      </c>
      <c r="D87" t="s">
        <v>282</v>
      </c>
      <c r="E87" t="s">
        <v>70</v>
      </c>
      <c r="F87" t="s">
        <v>2</v>
      </c>
      <c r="G87" t="s">
        <v>22</v>
      </c>
      <c r="H87" t="s">
        <v>1</v>
      </c>
      <c r="I87" t="s">
        <v>178</v>
      </c>
      <c r="J87">
        <v>0</v>
      </c>
      <c r="K87" t="s">
        <v>283</v>
      </c>
      <c r="L87">
        <v>5</v>
      </c>
      <c r="M87">
        <v>9</v>
      </c>
      <c r="N87">
        <v>0.55600000000000005</v>
      </c>
      <c r="O87">
        <v>0</v>
      </c>
      <c r="P87">
        <v>1</v>
      </c>
      <c r="Q87">
        <v>0</v>
      </c>
      <c r="R87">
        <v>0</v>
      </c>
      <c r="S87">
        <v>0</v>
      </c>
      <c r="U87">
        <v>0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2</v>
      </c>
      <c r="AC87">
        <v>10</v>
      </c>
      <c r="AD87">
        <v>5.5</v>
      </c>
      <c r="AE87">
        <v>-9</v>
      </c>
      <c r="AF87" t="s">
        <v>12</v>
      </c>
    </row>
    <row r="88" spans="1:32" x14ac:dyDescent="0.2">
      <c r="A88">
        <v>56</v>
      </c>
      <c r="B88">
        <v>47</v>
      </c>
      <c r="C88" s="1">
        <v>44302</v>
      </c>
      <c r="D88" t="s">
        <v>284</v>
      </c>
      <c r="E88" t="s">
        <v>70</v>
      </c>
      <c r="F88" t="s">
        <v>2</v>
      </c>
      <c r="G88" t="s">
        <v>25</v>
      </c>
      <c r="H88" t="s">
        <v>0</v>
      </c>
      <c r="I88" t="s">
        <v>132</v>
      </c>
      <c r="J88">
        <v>0</v>
      </c>
      <c r="K88" t="s">
        <v>285</v>
      </c>
      <c r="L88">
        <v>4</v>
      </c>
      <c r="M88">
        <v>7</v>
      </c>
      <c r="N88">
        <v>0.57099999999999995</v>
      </c>
      <c r="O88">
        <v>1</v>
      </c>
      <c r="P88">
        <v>2</v>
      </c>
      <c r="Q88">
        <v>0.5</v>
      </c>
      <c r="R88">
        <v>0</v>
      </c>
      <c r="S88">
        <v>0</v>
      </c>
      <c r="U88">
        <v>0</v>
      </c>
      <c r="V88">
        <v>1</v>
      </c>
      <c r="W88">
        <v>1</v>
      </c>
      <c r="X88">
        <v>3</v>
      </c>
      <c r="Y88">
        <v>0</v>
      </c>
      <c r="Z88">
        <v>0</v>
      </c>
      <c r="AA88">
        <v>1</v>
      </c>
      <c r="AB88">
        <v>0</v>
      </c>
      <c r="AC88">
        <v>9</v>
      </c>
      <c r="AD88">
        <v>7.1</v>
      </c>
      <c r="AE88">
        <v>-2</v>
      </c>
      <c r="AF88" t="s">
        <v>4</v>
      </c>
    </row>
    <row r="89" spans="1:32" x14ac:dyDescent="0.2">
      <c r="A89">
        <v>54</v>
      </c>
      <c r="B89">
        <v>46</v>
      </c>
      <c r="C89" s="1">
        <v>44298</v>
      </c>
      <c r="D89" t="s">
        <v>286</v>
      </c>
      <c r="E89" t="s">
        <v>70</v>
      </c>
      <c r="F89" t="s">
        <v>3</v>
      </c>
      <c r="G89" t="s">
        <v>18</v>
      </c>
      <c r="H89" t="s">
        <v>0</v>
      </c>
      <c r="I89" t="s">
        <v>158</v>
      </c>
      <c r="J89">
        <v>0</v>
      </c>
      <c r="K89" t="s">
        <v>287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-1.1000000000000001</v>
      </c>
      <c r="AE89">
        <v>3</v>
      </c>
      <c r="AF89" t="s">
        <v>4</v>
      </c>
    </row>
    <row r="90" spans="1:32" x14ac:dyDescent="0.2">
      <c r="A90">
        <v>53</v>
      </c>
      <c r="B90">
        <v>45</v>
      </c>
      <c r="C90" s="1">
        <v>44296</v>
      </c>
      <c r="D90" t="s">
        <v>288</v>
      </c>
      <c r="E90" t="s">
        <v>70</v>
      </c>
      <c r="F90" t="s">
        <v>3</v>
      </c>
      <c r="G90" t="s">
        <v>33</v>
      </c>
      <c r="H90" t="s">
        <v>0</v>
      </c>
      <c r="I90" t="s">
        <v>289</v>
      </c>
      <c r="J90">
        <v>0</v>
      </c>
      <c r="K90" t="s">
        <v>290</v>
      </c>
      <c r="L90">
        <v>2</v>
      </c>
      <c r="M90">
        <v>8</v>
      </c>
      <c r="N90">
        <v>0.25</v>
      </c>
      <c r="O90">
        <v>0</v>
      </c>
      <c r="P90">
        <v>2</v>
      </c>
      <c r="Q90">
        <v>0</v>
      </c>
      <c r="R90">
        <v>3</v>
      </c>
      <c r="S90">
        <v>3</v>
      </c>
      <c r="T90">
        <v>1</v>
      </c>
      <c r="U90">
        <v>0</v>
      </c>
      <c r="V90">
        <v>0</v>
      </c>
      <c r="W90">
        <v>0</v>
      </c>
      <c r="X90">
        <v>5</v>
      </c>
      <c r="Y90">
        <v>1</v>
      </c>
      <c r="Z90">
        <v>0</v>
      </c>
      <c r="AA90">
        <v>1</v>
      </c>
      <c r="AB90">
        <v>3</v>
      </c>
      <c r="AC90">
        <v>7</v>
      </c>
      <c r="AD90">
        <v>4.5</v>
      </c>
      <c r="AE90">
        <v>4</v>
      </c>
      <c r="AF90" t="s">
        <v>4</v>
      </c>
    </row>
    <row r="91" spans="1:32" x14ac:dyDescent="0.2">
      <c r="A91">
        <v>52</v>
      </c>
      <c r="B91">
        <v>44</v>
      </c>
      <c r="C91" s="1">
        <v>44295</v>
      </c>
      <c r="D91" t="s">
        <v>291</v>
      </c>
      <c r="E91" t="s">
        <v>70</v>
      </c>
      <c r="F91" t="s">
        <v>3</v>
      </c>
      <c r="G91" t="s">
        <v>31</v>
      </c>
      <c r="H91" t="s">
        <v>0</v>
      </c>
      <c r="I91" t="s">
        <v>214</v>
      </c>
      <c r="J91">
        <v>0</v>
      </c>
      <c r="K91" t="s">
        <v>292</v>
      </c>
      <c r="L91">
        <v>1</v>
      </c>
      <c r="M91">
        <v>1</v>
      </c>
      <c r="N91">
        <v>1</v>
      </c>
      <c r="O91">
        <v>0</v>
      </c>
      <c r="P91">
        <v>0</v>
      </c>
      <c r="R91">
        <v>0</v>
      </c>
      <c r="S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1.7</v>
      </c>
      <c r="AE91">
        <v>2</v>
      </c>
      <c r="AF91" t="s">
        <v>12</v>
      </c>
    </row>
    <row r="92" spans="1:32" x14ac:dyDescent="0.2">
      <c r="A92">
        <v>51</v>
      </c>
      <c r="B92">
        <v>43</v>
      </c>
      <c r="C92" s="1">
        <v>44292</v>
      </c>
      <c r="D92" t="s">
        <v>293</v>
      </c>
      <c r="E92" t="s">
        <v>70</v>
      </c>
      <c r="F92" t="s">
        <v>3</v>
      </c>
      <c r="G92" t="s">
        <v>14</v>
      </c>
      <c r="H92" t="s">
        <v>0</v>
      </c>
      <c r="I92" t="s">
        <v>101</v>
      </c>
      <c r="J92">
        <v>0</v>
      </c>
      <c r="K92" t="s">
        <v>294</v>
      </c>
      <c r="L92">
        <v>0</v>
      </c>
      <c r="M92">
        <v>1</v>
      </c>
      <c r="N92">
        <v>0</v>
      </c>
      <c r="O92">
        <v>0</v>
      </c>
      <c r="P92">
        <v>0</v>
      </c>
      <c r="R92">
        <v>0</v>
      </c>
      <c r="S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-1.1000000000000001</v>
      </c>
      <c r="AE92">
        <v>-4</v>
      </c>
      <c r="AF92" t="s">
        <v>4</v>
      </c>
    </row>
    <row r="93" spans="1:32" x14ac:dyDescent="0.2">
      <c r="A93">
        <v>48</v>
      </c>
      <c r="B93">
        <v>42</v>
      </c>
      <c r="C93" s="1">
        <v>44287</v>
      </c>
      <c r="D93" t="s">
        <v>295</v>
      </c>
      <c r="E93" t="s">
        <v>70</v>
      </c>
      <c r="F93" t="s">
        <v>3</v>
      </c>
      <c r="G93" t="s">
        <v>19</v>
      </c>
      <c r="H93" t="s">
        <v>1</v>
      </c>
      <c r="I93" t="s">
        <v>250</v>
      </c>
      <c r="J93">
        <v>0</v>
      </c>
      <c r="K93" t="s">
        <v>296</v>
      </c>
      <c r="L93">
        <v>2</v>
      </c>
      <c r="M93">
        <v>8</v>
      </c>
      <c r="N93">
        <v>0.25</v>
      </c>
      <c r="O93">
        <v>0</v>
      </c>
      <c r="P93">
        <v>3</v>
      </c>
      <c r="Q93">
        <v>0</v>
      </c>
      <c r="R93">
        <v>2</v>
      </c>
      <c r="S93">
        <v>2</v>
      </c>
      <c r="T93">
        <v>1</v>
      </c>
      <c r="U93">
        <v>0</v>
      </c>
      <c r="V93">
        <v>2</v>
      </c>
      <c r="W93">
        <v>2</v>
      </c>
      <c r="X93">
        <v>4</v>
      </c>
      <c r="Y93">
        <v>0</v>
      </c>
      <c r="Z93">
        <v>1</v>
      </c>
      <c r="AA93">
        <v>2</v>
      </c>
      <c r="AB93">
        <v>1</v>
      </c>
      <c r="AC93">
        <v>6</v>
      </c>
      <c r="AD93">
        <v>2.9</v>
      </c>
      <c r="AE93">
        <v>11</v>
      </c>
      <c r="AF93" t="s">
        <v>4</v>
      </c>
    </row>
    <row r="94" spans="1:32" x14ac:dyDescent="0.2">
      <c r="A94">
        <v>47</v>
      </c>
      <c r="B94">
        <v>41</v>
      </c>
      <c r="C94" s="1">
        <v>44285</v>
      </c>
      <c r="D94" t="s">
        <v>297</v>
      </c>
      <c r="E94" t="s">
        <v>70</v>
      </c>
      <c r="F94" t="s">
        <v>3</v>
      </c>
      <c r="G94" t="s">
        <v>20</v>
      </c>
      <c r="H94" t="s">
        <v>0</v>
      </c>
      <c r="I94" t="s">
        <v>148</v>
      </c>
      <c r="J94">
        <v>0</v>
      </c>
      <c r="K94" t="s">
        <v>298</v>
      </c>
      <c r="L94">
        <v>4</v>
      </c>
      <c r="M94">
        <v>9</v>
      </c>
      <c r="N94">
        <v>0.44400000000000001</v>
      </c>
      <c r="O94">
        <v>1</v>
      </c>
      <c r="P94">
        <v>3</v>
      </c>
      <c r="Q94">
        <v>0.33300000000000002</v>
      </c>
      <c r="R94">
        <v>4</v>
      </c>
      <c r="S94">
        <v>4</v>
      </c>
      <c r="T94">
        <v>1</v>
      </c>
      <c r="U94">
        <v>0</v>
      </c>
      <c r="V94">
        <v>2</v>
      </c>
      <c r="W94">
        <v>2</v>
      </c>
      <c r="X94">
        <v>1</v>
      </c>
      <c r="Y94">
        <v>0</v>
      </c>
      <c r="Z94">
        <v>0</v>
      </c>
      <c r="AA94">
        <v>0</v>
      </c>
      <c r="AB94">
        <v>1</v>
      </c>
      <c r="AC94">
        <v>13</v>
      </c>
      <c r="AD94">
        <v>9.1999999999999993</v>
      </c>
      <c r="AE94">
        <v>15</v>
      </c>
      <c r="AF94" t="s">
        <v>12</v>
      </c>
    </row>
    <row r="95" spans="1:32" x14ac:dyDescent="0.2">
      <c r="A95">
        <v>46</v>
      </c>
      <c r="B95">
        <v>40</v>
      </c>
      <c r="C95" s="1">
        <v>44282</v>
      </c>
      <c r="D95" t="s">
        <v>299</v>
      </c>
      <c r="E95" t="s">
        <v>70</v>
      </c>
      <c r="F95" t="s">
        <v>3</v>
      </c>
      <c r="G95" t="s">
        <v>25</v>
      </c>
      <c r="H95" t="s">
        <v>0</v>
      </c>
      <c r="I95" t="s">
        <v>86</v>
      </c>
      <c r="J95">
        <v>0</v>
      </c>
      <c r="K95" t="s">
        <v>300</v>
      </c>
      <c r="L95">
        <v>1</v>
      </c>
      <c r="M95">
        <v>3</v>
      </c>
      <c r="N95">
        <v>0.33300000000000002</v>
      </c>
      <c r="O95">
        <v>1</v>
      </c>
      <c r="P95">
        <v>1</v>
      </c>
      <c r="Q95">
        <v>1</v>
      </c>
      <c r="R95">
        <v>1</v>
      </c>
      <c r="S95">
        <v>2</v>
      </c>
      <c r="T95">
        <v>0.5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</v>
      </c>
      <c r="AD95">
        <v>1.9</v>
      </c>
      <c r="AE95">
        <v>5</v>
      </c>
      <c r="AF95" t="s">
        <v>12</v>
      </c>
    </row>
    <row r="96" spans="1:32" x14ac:dyDescent="0.2">
      <c r="A96">
        <v>45</v>
      </c>
      <c r="B96">
        <v>39</v>
      </c>
      <c r="C96" s="1">
        <v>44280</v>
      </c>
      <c r="D96" t="s">
        <v>301</v>
      </c>
      <c r="E96" t="s">
        <v>70</v>
      </c>
      <c r="F96" t="s">
        <v>3</v>
      </c>
      <c r="G96" t="s">
        <v>26</v>
      </c>
      <c r="H96" t="s">
        <v>0</v>
      </c>
      <c r="I96" t="s">
        <v>181</v>
      </c>
      <c r="J96">
        <v>0</v>
      </c>
      <c r="K96" t="s">
        <v>302</v>
      </c>
      <c r="L96">
        <v>0</v>
      </c>
      <c r="M96">
        <v>0</v>
      </c>
      <c r="O96">
        <v>0</v>
      </c>
      <c r="P96">
        <v>0</v>
      </c>
      <c r="R96">
        <v>0</v>
      </c>
      <c r="S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</v>
      </c>
      <c r="AF96" t="s">
        <v>4</v>
      </c>
    </row>
    <row r="97" spans="1:32" x14ac:dyDescent="0.2">
      <c r="A97">
        <v>44</v>
      </c>
      <c r="B97">
        <v>38</v>
      </c>
      <c r="C97" s="1">
        <v>44278</v>
      </c>
      <c r="D97" t="s">
        <v>303</v>
      </c>
      <c r="E97" t="s">
        <v>70</v>
      </c>
      <c r="F97" t="s">
        <v>3</v>
      </c>
      <c r="G97" t="s">
        <v>22</v>
      </c>
      <c r="H97" t="s">
        <v>1</v>
      </c>
      <c r="I97" t="s">
        <v>101</v>
      </c>
      <c r="J97">
        <v>0</v>
      </c>
      <c r="K97" t="s">
        <v>304</v>
      </c>
      <c r="L97">
        <v>2</v>
      </c>
      <c r="M97">
        <v>3</v>
      </c>
      <c r="N97">
        <v>0.66700000000000004</v>
      </c>
      <c r="O97">
        <v>1</v>
      </c>
      <c r="P97">
        <v>2</v>
      </c>
      <c r="Q97">
        <v>0.5</v>
      </c>
      <c r="R97">
        <v>0</v>
      </c>
      <c r="S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5</v>
      </c>
      <c r="AD97">
        <v>3.6</v>
      </c>
      <c r="AE97">
        <v>-11</v>
      </c>
      <c r="AF97" t="s">
        <v>4</v>
      </c>
    </row>
    <row r="98" spans="1:32" x14ac:dyDescent="0.2">
      <c r="A98">
        <v>43</v>
      </c>
      <c r="B98">
        <v>37</v>
      </c>
      <c r="C98" s="1">
        <v>44276</v>
      </c>
      <c r="D98" t="s">
        <v>305</v>
      </c>
      <c r="E98" t="s">
        <v>70</v>
      </c>
      <c r="F98" t="s">
        <v>3</v>
      </c>
      <c r="G98" t="s">
        <v>32</v>
      </c>
      <c r="H98" t="s">
        <v>0</v>
      </c>
      <c r="I98" t="s">
        <v>306</v>
      </c>
      <c r="J98">
        <v>0</v>
      </c>
      <c r="K98" t="s">
        <v>307</v>
      </c>
      <c r="L98">
        <v>3</v>
      </c>
      <c r="M98">
        <v>4</v>
      </c>
      <c r="N98">
        <v>0.75</v>
      </c>
      <c r="O98">
        <v>0</v>
      </c>
      <c r="P98">
        <v>0</v>
      </c>
      <c r="R98">
        <v>0</v>
      </c>
      <c r="S98">
        <v>0</v>
      </c>
      <c r="U98">
        <v>0</v>
      </c>
      <c r="V98">
        <v>3</v>
      </c>
      <c r="W98">
        <v>3</v>
      </c>
      <c r="X98">
        <v>1</v>
      </c>
      <c r="Y98">
        <v>0</v>
      </c>
      <c r="Z98">
        <v>0</v>
      </c>
      <c r="AA98">
        <v>1</v>
      </c>
      <c r="AB98">
        <v>2</v>
      </c>
      <c r="AC98">
        <v>6</v>
      </c>
      <c r="AD98">
        <v>4.2</v>
      </c>
      <c r="AE98">
        <v>4</v>
      </c>
      <c r="AF98" t="s">
        <v>4</v>
      </c>
    </row>
    <row r="99" spans="1:32" x14ac:dyDescent="0.2">
      <c r="A99">
        <v>42</v>
      </c>
      <c r="B99">
        <v>36</v>
      </c>
      <c r="C99" s="1">
        <v>44275</v>
      </c>
      <c r="D99" t="s">
        <v>308</v>
      </c>
      <c r="E99" t="s">
        <v>70</v>
      </c>
      <c r="F99" t="s">
        <v>2</v>
      </c>
      <c r="G99" t="s">
        <v>37</v>
      </c>
      <c r="H99" t="s">
        <v>0</v>
      </c>
      <c r="I99" t="s">
        <v>289</v>
      </c>
      <c r="J99">
        <v>0</v>
      </c>
      <c r="K99" t="s">
        <v>309</v>
      </c>
      <c r="L99">
        <v>4</v>
      </c>
      <c r="M99">
        <v>7</v>
      </c>
      <c r="N99">
        <v>0.57099999999999995</v>
      </c>
      <c r="O99">
        <v>1</v>
      </c>
      <c r="P99">
        <v>1</v>
      </c>
      <c r="Q99">
        <v>1</v>
      </c>
      <c r="R99">
        <v>0</v>
      </c>
      <c r="S99">
        <v>0</v>
      </c>
      <c r="U99">
        <v>1</v>
      </c>
      <c r="V99">
        <v>0</v>
      </c>
      <c r="W99">
        <v>1</v>
      </c>
      <c r="X99">
        <v>1</v>
      </c>
      <c r="Y99">
        <v>0</v>
      </c>
      <c r="Z99">
        <v>0</v>
      </c>
      <c r="AA99">
        <v>1</v>
      </c>
      <c r="AB99">
        <v>3</v>
      </c>
      <c r="AC99">
        <v>9</v>
      </c>
      <c r="AD99">
        <v>4.9000000000000004</v>
      </c>
      <c r="AE99">
        <v>-10</v>
      </c>
      <c r="AF99" t="s">
        <v>4</v>
      </c>
    </row>
    <row r="100" spans="1:32" x14ac:dyDescent="0.2">
      <c r="A100">
        <v>39</v>
      </c>
      <c r="B100">
        <v>35</v>
      </c>
      <c r="C100" s="1">
        <v>44269</v>
      </c>
      <c r="D100" t="s">
        <v>310</v>
      </c>
      <c r="E100" t="s">
        <v>70</v>
      </c>
      <c r="F100" t="s">
        <v>2</v>
      </c>
      <c r="G100" t="s">
        <v>38</v>
      </c>
      <c r="H100" t="s">
        <v>0</v>
      </c>
      <c r="I100" t="s">
        <v>311</v>
      </c>
      <c r="J100">
        <v>0</v>
      </c>
      <c r="K100" t="s">
        <v>312</v>
      </c>
      <c r="L100">
        <v>2</v>
      </c>
      <c r="M100">
        <v>5</v>
      </c>
      <c r="N100">
        <v>0.4</v>
      </c>
      <c r="O100">
        <v>0</v>
      </c>
      <c r="P100">
        <v>0</v>
      </c>
      <c r="R100">
        <v>1</v>
      </c>
      <c r="S100">
        <v>2</v>
      </c>
      <c r="T100">
        <v>0.5</v>
      </c>
      <c r="U100">
        <v>0</v>
      </c>
      <c r="V100">
        <v>1</v>
      </c>
      <c r="W100">
        <v>1</v>
      </c>
      <c r="X100">
        <v>2</v>
      </c>
      <c r="Y100">
        <v>0</v>
      </c>
      <c r="Z100">
        <v>1</v>
      </c>
      <c r="AA100">
        <v>1</v>
      </c>
      <c r="AB100">
        <v>0</v>
      </c>
      <c r="AC100">
        <v>5</v>
      </c>
      <c r="AD100">
        <v>3.3</v>
      </c>
      <c r="AE100">
        <v>-5</v>
      </c>
      <c r="AF100" t="s">
        <v>4</v>
      </c>
    </row>
    <row r="101" spans="1:32" x14ac:dyDescent="0.2">
      <c r="A101">
        <v>38</v>
      </c>
      <c r="B101">
        <v>34</v>
      </c>
      <c r="C101" s="1">
        <v>44267</v>
      </c>
      <c r="D101" t="s">
        <v>313</v>
      </c>
      <c r="E101" t="s">
        <v>70</v>
      </c>
      <c r="F101" t="s">
        <v>3</v>
      </c>
      <c r="G101" t="s">
        <v>41</v>
      </c>
      <c r="H101" t="s">
        <v>0</v>
      </c>
      <c r="I101" t="s">
        <v>314</v>
      </c>
      <c r="J101">
        <v>0</v>
      </c>
      <c r="K101" t="s">
        <v>315</v>
      </c>
      <c r="L101">
        <v>1</v>
      </c>
      <c r="M101">
        <v>2</v>
      </c>
      <c r="N101">
        <v>0.5</v>
      </c>
      <c r="O101">
        <v>0</v>
      </c>
      <c r="P101">
        <v>0</v>
      </c>
      <c r="R101">
        <v>0</v>
      </c>
      <c r="S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</v>
      </c>
      <c r="AD101">
        <v>1</v>
      </c>
      <c r="AE101">
        <v>-1</v>
      </c>
      <c r="AF101" t="s">
        <v>4</v>
      </c>
    </row>
    <row r="102" spans="1:32" x14ac:dyDescent="0.2">
      <c r="A102">
        <v>37</v>
      </c>
      <c r="B102">
        <v>33</v>
      </c>
      <c r="C102" s="1">
        <v>44266</v>
      </c>
      <c r="D102" t="s">
        <v>316</v>
      </c>
      <c r="E102" t="s">
        <v>70</v>
      </c>
      <c r="F102" t="s">
        <v>3</v>
      </c>
      <c r="G102" t="s">
        <v>16</v>
      </c>
      <c r="H102" t="s">
        <v>1</v>
      </c>
      <c r="I102" t="s">
        <v>268</v>
      </c>
      <c r="J102">
        <v>0</v>
      </c>
      <c r="K102" t="s">
        <v>317</v>
      </c>
      <c r="L102">
        <v>2</v>
      </c>
      <c r="M102">
        <v>4</v>
      </c>
      <c r="N102">
        <v>0.5</v>
      </c>
      <c r="O102">
        <v>0</v>
      </c>
      <c r="P102">
        <v>1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</v>
      </c>
      <c r="AD102">
        <v>2</v>
      </c>
      <c r="AE102">
        <v>0</v>
      </c>
      <c r="AF102" t="s">
        <v>4</v>
      </c>
    </row>
    <row r="103" spans="1:32" x14ac:dyDescent="0.2">
      <c r="A103">
        <v>35</v>
      </c>
      <c r="B103">
        <v>32</v>
      </c>
      <c r="C103" s="1">
        <v>44256</v>
      </c>
      <c r="D103" t="s">
        <v>318</v>
      </c>
      <c r="E103" t="s">
        <v>70</v>
      </c>
      <c r="F103" t="s">
        <v>2</v>
      </c>
      <c r="G103" t="s">
        <v>24</v>
      </c>
      <c r="H103" t="s">
        <v>0</v>
      </c>
      <c r="I103" t="s">
        <v>126</v>
      </c>
      <c r="J103">
        <v>0</v>
      </c>
      <c r="K103" t="s">
        <v>319</v>
      </c>
      <c r="L103">
        <v>2</v>
      </c>
      <c r="M103">
        <v>3</v>
      </c>
      <c r="N103">
        <v>0.66700000000000004</v>
      </c>
      <c r="O103">
        <v>0</v>
      </c>
      <c r="P103">
        <v>1</v>
      </c>
      <c r="Q103">
        <v>0</v>
      </c>
      <c r="R103">
        <v>0</v>
      </c>
      <c r="S103">
        <v>0</v>
      </c>
      <c r="U103">
        <v>0</v>
      </c>
      <c r="V103">
        <v>2</v>
      </c>
      <c r="W103">
        <v>2</v>
      </c>
      <c r="X103">
        <v>5</v>
      </c>
      <c r="Y103">
        <v>0</v>
      </c>
      <c r="Z103">
        <v>1</v>
      </c>
      <c r="AA103">
        <v>1</v>
      </c>
      <c r="AB103">
        <v>3</v>
      </c>
      <c r="AC103">
        <v>4</v>
      </c>
      <c r="AD103">
        <v>5.3</v>
      </c>
      <c r="AE103">
        <v>-8</v>
      </c>
      <c r="AF103" t="s">
        <v>4</v>
      </c>
    </row>
    <row r="104" spans="1:32" x14ac:dyDescent="0.2">
      <c r="A104">
        <v>34</v>
      </c>
      <c r="B104">
        <v>31</v>
      </c>
      <c r="C104" s="1">
        <v>44254</v>
      </c>
      <c r="D104" t="s">
        <v>320</v>
      </c>
      <c r="E104" t="s">
        <v>70</v>
      </c>
      <c r="F104" t="s">
        <v>2</v>
      </c>
      <c r="G104" t="s">
        <v>19</v>
      </c>
      <c r="H104" t="s">
        <v>1</v>
      </c>
      <c r="I104" t="s">
        <v>151</v>
      </c>
      <c r="J104">
        <v>0</v>
      </c>
      <c r="K104" t="s">
        <v>321</v>
      </c>
      <c r="L104">
        <v>0</v>
      </c>
      <c r="M104">
        <v>0</v>
      </c>
      <c r="O104">
        <v>0</v>
      </c>
      <c r="P104">
        <v>0</v>
      </c>
      <c r="R104">
        <v>0</v>
      </c>
      <c r="S104">
        <v>0</v>
      </c>
      <c r="U104">
        <v>0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1.7</v>
      </c>
      <c r="AE104">
        <v>0</v>
      </c>
      <c r="AF104" t="s">
        <v>12</v>
      </c>
    </row>
    <row r="105" spans="1:32" x14ac:dyDescent="0.2">
      <c r="A105">
        <v>33</v>
      </c>
      <c r="B105">
        <v>30</v>
      </c>
      <c r="C105" s="1">
        <v>44252</v>
      </c>
      <c r="D105" t="s">
        <v>322</v>
      </c>
      <c r="E105" t="s">
        <v>70</v>
      </c>
      <c r="F105" t="s">
        <v>2</v>
      </c>
      <c r="G105" t="s">
        <v>18</v>
      </c>
      <c r="H105" t="s">
        <v>0</v>
      </c>
      <c r="I105" t="s">
        <v>217</v>
      </c>
      <c r="J105">
        <v>0</v>
      </c>
      <c r="K105" t="s">
        <v>317</v>
      </c>
      <c r="L105">
        <v>1</v>
      </c>
      <c r="M105">
        <v>2</v>
      </c>
      <c r="N105">
        <v>0.5</v>
      </c>
      <c r="O105">
        <v>0</v>
      </c>
      <c r="P105">
        <v>0</v>
      </c>
      <c r="R105">
        <v>0</v>
      </c>
      <c r="S105">
        <v>0</v>
      </c>
      <c r="U105">
        <v>0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2</v>
      </c>
      <c r="AC105">
        <v>2</v>
      </c>
      <c r="AD105">
        <v>1.2</v>
      </c>
      <c r="AE105">
        <v>-9</v>
      </c>
      <c r="AF105" t="s">
        <v>4</v>
      </c>
    </row>
    <row r="106" spans="1:32" x14ac:dyDescent="0.2">
      <c r="A106">
        <v>30</v>
      </c>
      <c r="B106">
        <v>29</v>
      </c>
      <c r="C106" s="1">
        <v>44246</v>
      </c>
      <c r="D106" t="s">
        <v>323</v>
      </c>
      <c r="E106" t="s">
        <v>70</v>
      </c>
      <c r="F106" t="s">
        <v>2</v>
      </c>
      <c r="G106" t="s">
        <v>16</v>
      </c>
      <c r="H106" t="s">
        <v>1</v>
      </c>
      <c r="I106" t="s">
        <v>95</v>
      </c>
      <c r="J106">
        <v>0</v>
      </c>
      <c r="K106" t="s">
        <v>324</v>
      </c>
      <c r="L106">
        <v>3</v>
      </c>
      <c r="M106">
        <v>11</v>
      </c>
      <c r="N106">
        <v>0.27300000000000002</v>
      </c>
      <c r="O106">
        <v>0</v>
      </c>
      <c r="P106">
        <v>0</v>
      </c>
      <c r="R106">
        <v>0</v>
      </c>
      <c r="S106">
        <v>0</v>
      </c>
      <c r="U106">
        <v>2</v>
      </c>
      <c r="V106">
        <v>1</v>
      </c>
      <c r="W106">
        <v>3</v>
      </c>
      <c r="X106">
        <v>3</v>
      </c>
      <c r="Y106">
        <v>0</v>
      </c>
      <c r="Z106">
        <v>0</v>
      </c>
      <c r="AA106">
        <v>3</v>
      </c>
      <c r="AB106">
        <v>2</v>
      </c>
      <c r="AC106">
        <v>6</v>
      </c>
      <c r="AD106">
        <v>-0.5</v>
      </c>
      <c r="AE106">
        <v>-11</v>
      </c>
      <c r="AF106" t="s">
        <v>4</v>
      </c>
    </row>
    <row r="107" spans="1:32" x14ac:dyDescent="0.2">
      <c r="A107">
        <v>29</v>
      </c>
      <c r="B107">
        <v>28</v>
      </c>
      <c r="C107" s="1">
        <v>44244</v>
      </c>
      <c r="D107" t="s">
        <v>325</v>
      </c>
      <c r="E107" t="s">
        <v>70</v>
      </c>
      <c r="F107" t="s">
        <v>2</v>
      </c>
      <c r="G107" t="s">
        <v>23</v>
      </c>
      <c r="H107" t="s">
        <v>0</v>
      </c>
      <c r="I107" t="s">
        <v>92</v>
      </c>
      <c r="J107">
        <v>0</v>
      </c>
      <c r="K107" t="s">
        <v>326</v>
      </c>
      <c r="L107">
        <v>4</v>
      </c>
      <c r="M107">
        <v>7</v>
      </c>
      <c r="N107">
        <v>0.57099999999999995</v>
      </c>
      <c r="O107">
        <v>0</v>
      </c>
      <c r="P107">
        <v>0</v>
      </c>
      <c r="R107">
        <v>2</v>
      </c>
      <c r="S107">
        <v>2</v>
      </c>
      <c r="T107">
        <v>1</v>
      </c>
      <c r="U107">
        <v>0</v>
      </c>
      <c r="V107">
        <v>2</v>
      </c>
      <c r="W107">
        <v>2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10</v>
      </c>
      <c r="AD107">
        <v>6.3</v>
      </c>
      <c r="AE107">
        <v>5</v>
      </c>
      <c r="AF107" t="s">
        <v>4</v>
      </c>
    </row>
    <row r="108" spans="1:32" x14ac:dyDescent="0.2">
      <c r="A108">
        <v>28</v>
      </c>
      <c r="B108">
        <v>27</v>
      </c>
      <c r="C108" s="1">
        <v>44242</v>
      </c>
      <c r="D108" t="s">
        <v>327</v>
      </c>
      <c r="E108" t="s">
        <v>70</v>
      </c>
      <c r="F108" t="s">
        <v>3</v>
      </c>
      <c r="G108" t="s">
        <v>40</v>
      </c>
      <c r="H108" t="s">
        <v>1</v>
      </c>
      <c r="I108" t="s">
        <v>178</v>
      </c>
      <c r="J108">
        <v>0</v>
      </c>
      <c r="K108" t="s">
        <v>328</v>
      </c>
      <c r="L108">
        <v>3</v>
      </c>
      <c r="M108">
        <v>8</v>
      </c>
      <c r="N108">
        <v>0.375</v>
      </c>
      <c r="O108">
        <v>0</v>
      </c>
      <c r="P108">
        <v>2</v>
      </c>
      <c r="Q108">
        <v>0</v>
      </c>
      <c r="R108">
        <v>0</v>
      </c>
      <c r="S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6</v>
      </c>
      <c r="AD108">
        <v>1.2</v>
      </c>
      <c r="AE108">
        <v>-9</v>
      </c>
      <c r="AF108" t="s">
        <v>12</v>
      </c>
    </row>
    <row r="109" spans="1:32" x14ac:dyDescent="0.2">
      <c r="A109">
        <v>27</v>
      </c>
      <c r="B109">
        <v>26</v>
      </c>
      <c r="C109" s="1">
        <v>44240</v>
      </c>
      <c r="D109" t="s">
        <v>329</v>
      </c>
      <c r="E109" t="s">
        <v>70</v>
      </c>
      <c r="F109" t="s">
        <v>3</v>
      </c>
      <c r="G109" t="s">
        <v>35</v>
      </c>
      <c r="H109" t="s">
        <v>1</v>
      </c>
      <c r="I109" t="s">
        <v>148</v>
      </c>
      <c r="J109">
        <v>0</v>
      </c>
      <c r="K109" t="s">
        <v>330</v>
      </c>
      <c r="L109">
        <v>2</v>
      </c>
      <c r="M109">
        <v>6</v>
      </c>
      <c r="N109">
        <v>0.33300000000000002</v>
      </c>
      <c r="O109">
        <v>0</v>
      </c>
      <c r="P109">
        <v>1</v>
      </c>
      <c r="Q109">
        <v>0</v>
      </c>
      <c r="R109">
        <v>2</v>
      </c>
      <c r="S109">
        <v>2</v>
      </c>
      <c r="T109">
        <v>1</v>
      </c>
      <c r="U109">
        <v>0</v>
      </c>
      <c r="V109">
        <v>0</v>
      </c>
      <c r="W109">
        <v>0</v>
      </c>
      <c r="X109">
        <v>3</v>
      </c>
      <c r="Y109">
        <v>0</v>
      </c>
      <c r="Z109">
        <v>0</v>
      </c>
      <c r="AA109">
        <v>1</v>
      </c>
      <c r="AB109">
        <v>0</v>
      </c>
      <c r="AC109">
        <v>6</v>
      </c>
      <c r="AD109">
        <v>3.7</v>
      </c>
      <c r="AE109">
        <v>-1</v>
      </c>
      <c r="AF109" t="s">
        <v>12</v>
      </c>
    </row>
    <row r="110" spans="1:32" x14ac:dyDescent="0.2">
      <c r="A110">
        <v>26</v>
      </c>
      <c r="B110">
        <v>25</v>
      </c>
      <c r="C110" s="1">
        <v>44238</v>
      </c>
      <c r="D110" t="s">
        <v>331</v>
      </c>
      <c r="E110" t="s">
        <v>70</v>
      </c>
      <c r="F110" t="s">
        <v>3</v>
      </c>
      <c r="G110" t="s">
        <v>36</v>
      </c>
      <c r="H110" t="s">
        <v>0</v>
      </c>
      <c r="I110" t="s">
        <v>106</v>
      </c>
      <c r="J110">
        <v>0</v>
      </c>
      <c r="K110" t="s">
        <v>332</v>
      </c>
      <c r="L110">
        <v>2</v>
      </c>
      <c r="M110">
        <v>8</v>
      </c>
      <c r="N110">
        <v>0.25</v>
      </c>
      <c r="O110">
        <v>0</v>
      </c>
      <c r="P110">
        <v>3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5</v>
      </c>
      <c r="AD110">
        <v>0.1</v>
      </c>
      <c r="AE110">
        <v>-13</v>
      </c>
      <c r="AF110" t="s">
        <v>12</v>
      </c>
    </row>
    <row r="111" spans="1:32" x14ac:dyDescent="0.2">
      <c r="A111">
        <v>24</v>
      </c>
      <c r="B111">
        <v>24</v>
      </c>
      <c r="C111" s="1">
        <v>44233</v>
      </c>
      <c r="D111" t="s">
        <v>333</v>
      </c>
      <c r="E111" t="s">
        <v>70</v>
      </c>
      <c r="F111" t="s">
        <v>2</v>
      </c>
      <c r="G111" t="s">
        <v>15</v>
      </c>
      <c r="H111" t="s">
        <v>0</v>
      </c>
      <c r="I111" t="s">
        <v>126</v>
      </c>
      <c r="J111">
        <v>0</v>
      </c>
      <c r="K111" t="s">
        <v>334</v>
      </c>
      <c r="L111">
        <v>0</v>
      </c>
      <c r="M111">
        <v>0</v>
      </c>
      <c r="O111">
        <v>0</v>
      </c>
      <c r="P111">
        <v>0</v>
      </c>
      <c r="R111">
        <v>0</v>
      </c>
      <c r="S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-0.1</v>
      </c>
      <c r="AE111">
        <v>6</v>
      </c>
      <c r="AF111" t="s">
        <v>4</v>
      </c>
    </row>
    <row r="112" spans="1:32" x14ac:dyDescent="0.2">
      <c r="A112">
        <v>23</v>
      </c>
      <c r="B112">
        <v>23</v>
      </c>
      <c r="C112" s="1">
        <v>44231</v>
      </c>
      <c r="D112" t="s">
        <v>335</v>
      </c>
      <c r="E112" t="s">
        <v>70</v>
      </c>
      <c r="F112" t="s">
        <v>2</v>
      </c>
      <c r="G112" t="s">
        <v>36</v>
      </c>
      <c r="H112" t="s">
        <v>0</v>
      </c>
      <c r="I112" t="s">
        <v>336</v>
      </c>
      <c r="J112">
        <v>0</v>
      </c>
      <c r="K112" t="s">
        <v>337</v>
      </c>
      <c r="L112">
        <v>5</v>
      </c>
      <c r="M112">
        <v>8</v>
      </c>
      <c r="N112">
        <v>0.625</v>
      </c>
      <c r="O112">
        <v>2</v>
      </c>
      <c r="P112">
        <v>4</v>
      </c>
      <c r="Q112">
        <v>0.5</v>
      </c>
      <c r="R112">
        <v>3</v>
      </c>
      <c r="S112">
        <v>4</v>
      </c>
      <c r="T112">
        <v>0.75</v>
      </c>
      <c r="U112">
        <v>0</v>
      </c>
      <c r="V112">
        <v>2</v>
      </c>
      <c r="W112">
        <v>2</v>
      </c>
      <c r="X112">
        <v>4</v>
      </c>
      <c r="Y112">
        <v>1</v>
      </c>
      <c r="Z112">
        <v>0</v>
      </c>
      <c r="AA112">
        <v>2</v>
      </c>
      <c r="AB112">
        <v>3</v>
      </c>
      <c r="AC112">
        <v>15</v>
      </c>
      <c r="AD112">
        <v>12.2</v>
      </c>
      <c r="AE112">
        <v>-3</v>
      </c>
      <c r="AF112" t="s">
        <v>12</v>
      </c>
    </row>
    <row r="113" spans="1:32" x14ac:dyDescent="0.2">
      <c r="A113">
        <v>22</v>
      </c>
      <c r="B113">
        <v>22</v>
      </c>
      <c r="C113" s="1">
        <v>44230</v>
      </c>
      <c r="D113" t="s">
        <v>338</v>
      </c>
      <c r="E113" t="s">
        <v>70</v>
      </c>
      <c r="F113" t="s">
        <v>3</v>
      </c>
      <c r="G113" t="s">
        <v>17</v>
      </c>
      <c r="H113" t="s">
        <v>0</v>
      </c>
      <c r="I113" t="s">
        <v>95</v>
      </c>
      <c r="J113">
        <v>0</v>
      </c>
      <c r="K113" t="s">
        <v>339</v>
      </c>
      <c r="L113">
        <v>0</v>
      </c>
      <c r="M113">
        <v>1</v>
      </c>
      <c r="N113">
        <v>0</v>
      </c>
      <c r="O113">
        <v>0</v>
      </c>
      <c r="P113">
        <v>0</v>
      </c>
      <c r="R113">
        <v>0</v>
      </c>
      <c r="S113">
        <v>0</v>
      </c>
      <c r="U113">
        <v>0</v>
      </c>
      <c r="V113">
        <v>2</v>
      </c>
      <c r="W113">
        <v>2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0.2</v>
      </c>
      <c r="AE113">
        <v>-5</v>
      </c>
      <c r="AF113" t="s">
        <v>4</v>
      </c>
    </row>
    <row r="114" spans="1:32" x14ac:dyDescent="0.2">
      <c r="A114">
        <v>21</v>
      </c>
      <c r="B114">
        <v>21</v>
      </c>
      <c r="C114" s="1">
        <v>44227</v>
      </c>
      <c r="D114" t="s">
        <v>340</v>
      </c>
      <c r="E114" t="s">
        <v>70</v>
      </c>
      <c r="F114" t="s">
        <v>3</v>
      </c>
      <c r="G114" t="s">
        <v>24</v>
      </c>
      <c r="H114" t="s">
        <v>0</v>
      </c>
      <c r="I114" t="s">
        <v>71</v>
      </c>
      <c r="J114">
        <v>0</v>
      </c>
      <c r="K114" t="s">
        <v>341</v>
      </c>
      <c r="L114">
        <v>3</v>
      </c>
      <c r="M114">
        <v>8</v>
      </c>
      <c r="N114">
        <v>0.375</v>
      </c>
      <c r="O114">
        <v>1</v>
      </c>
      <c r="P114">
        <v>3</v>
      </c>
      <c r="Q114">
        <v>0.33300000000000002</v>
      </c>
      <c r="R114">
        <v>2</v>
      </c>
      <c r="S114">
        <v>2</v>
      </c>
      <c r="T114">
        <v>1</v>
      </c>
      <c r="U114">
        <v>0</v>
      </c>
      <c r="V114">
        <v>1</v>
      </c>
      <c r="W114">
        <v>1</v>
      </c>
      <c r="X114">
        <v>3</v>
      </c>
      <c r="Y114">
        <v>0</v>
      </c>
      <c r="Z114">
        <v>0</v>
      </c>
      <c r="AA114">
        <v>0</v>
      </c>
      <c r="AB114">
        <v>0</v>
      </c>
      <c r="AC114">
        <v>9</v>
      </c>
      <c r="AD114">
        <v>7</v>
      </c>
      <c r="AE114">
        <v>4</v>
      </c>
      <c r="AF114" t="s">
        <v>4</v>
      </c>
    </row>
    <row r="115" spans="1:32" x14ac:dyDescent="0.2">
      <c r="A115">
        <v>20</v>
      </c>
      <c r="B115">
        <v>20</v>
      </c>
      <c r="C115" s="1">
        <v>44225</v>
      </c>
      <c r="D115" t="s">
        <v>342</v>
      </c>
      <c r="E115" t="s">
        <v>70</v>
      </c>
      <c r="F115" t="s">
        <v>3</v>
      </c>
      <c r="G115" t="s">
        <v>30</v>
      </c>
      <c r="H115" t="s">
        <v>0</v>
      </c>
      <c r="I115" t="s">
        <v>289</v>
      </c>
      <c r="J115">
        <v>0</v>
      </c>
      <c r="K115" t="s">
        <v>343</v>
      </c>
      <c r="L115">
        <v>3</v>
      </c>
      <c r="M115">
        <v>5</v>
      </c>
      <c r="N115">
        <v>0.6</v>
      </c>
      <c r="O115">
        <v>0</v>
      </c>
      <c r="P115">
        <v>0</v>
      </c>
      <c r="R115">
        <v>2</v>
      </c>
      <c r="S115">
        <v>2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2</v>
      </c>
      <c r="AC115">
        <v>8</v>
      </c>
      <c r="AD115">
        <v>3.9</v>
      </c>
      <c r="AE115">
        <v>-5</v>
      </c>
      <c r="AF115" t="s">
        <v>4</v>
      </c>
    </row>
    <row r="116" spans="1:32" x14ac:dyDescent="0.2">
      <c r="A116">
        <v>19</v>
      </c>
      <c r="B116">
        <v>19</v>
      </c>
      <c r="C116" s="1">
        <v>44223</v>
      </c>
      <c r="D116" t="s">
        <v>344</v>
      </c>
      <c r="E116" t="s">
        <v>70</v>
      </c>
      <c r="F116" t="s">
        <v>2</v>
      </c>
      <c r="G116" t="s">
        <v>26</v>
      </c>
      <c r="H116" t="s">
        <v>0</v>
      </c>
      <c r="I116" t="s">
        <v>306</v>
      </c>
      <c r="J116">
        <v>0</v>
      </c>
      <c r="K116" t="s">
        <v>345</v>
      </c>
      <c r="L116">
        <v>2</v>
      </c>
      <c r="M116">
        <v>5</v>
      </c>
      <c r="N116">
        <v>0.4</v>
      </c>
      <c r="O116">
        <v>0</v>
      </c>
      <c r="P116">
        <v>0</v>
      </c>
      <c r="R116">
        <v>0</v>
      </c>
      <c r="S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1.3</v>
      </c>
      <c r="AE116">
        <v>-4</v>
      </c>
      <c r="AF116" t="s">
        <v>4</v>
      </c>
    </row>
    <row r="117" spans="1:32" x14ac:dyDescent="0.2">
      <c r="A117">
        <v>18</v>
      </c>
      <c r="B117">
        <v>18</v>
      </c>
      <c r="C117" s="1">
        <v>44221</v>
      </c>
      <c r="D117" t="s">
        <v>346</v>
      </c>
      <c r="E117" t="s">
        <v>70</v>
      </c>
      <c r="F117" t="s">
        <v>3</v>
      </c>
      <c r="G117" t="s">
        <v>21</v>
      </c>
      <c r="H117" t="s">
        <v>0</v>
      </c>
      <c r="I117" t="s">
        <v>347</v>
      </c>
      <c r="J117">
        <v>0</v>
      </c>
      <c r="K117" t="s">
        <v>348</v>
      </c>
      <c r="L117">
        <v>6</v>
      </c>
      <c r="M117">
        <v>12</v>
      </c>
      <c r="N117">
        <v>0.5</v>
      </c>
      <c r="O117">
        <v>2</v>
      </c>
      <c r="P117">
        <v>3</v>
      </c>
      <c r="Q117">
        <v>0.66700000000000004</v>
      </c>
      <c r="R117">
        <v>3</v>
      </c>
      <c r="S117">
        <v>3</v>
      </c>
      <c r="T117">
        <v>1</v>
      </c>
      <c r="U117">
        <v>0</v>
      </c>
      <c r="V117">
        <v>2</v>
      </c>
      <c r="W117">
        <v>2</v>
      </c>
      <c r="X117">
        <v>2</v>
      </c>
      <c r="Y117">
        <v>3</v>
      </c>
      <c r="Z117">
        <v>0</v>
      </c>
      <c r="AA117">
        <v>1</v>
      </c>
      <c r="AB117">
        <v>2</v>
      </c>
      <c r="AC117">
        <v>17</v>
      </c>
      <c r="AD117">
        <v>14.2</v>
      </c>
      <c r="AE117">
        <v>-7</v>
      </c>
      <c r="AF117" t="s">
        <v>12</v>
      </c>
    </row>
    <row r="118" spans="1:32" x14ac:dyDescent="0.2">
      <c r="A118">
        <v>17</v>
      </c>
      <c r="B118">
        <v>17</v>
      </c>
      <c r="C118" s="1">
        <v>44219</v>
      </c>
      <c r="D118" t="s">
        <v>349</v>
      </c>
      <c r="E118" t="s">
        <v>70</v>
      </c>
      <c r="F118" t="s">
        <v>3</v>
      </c>
      <c r="G118" t="s">
        <v>21</v>
      </c>
      <c r="H118" t="s">
        <v>0</v>
      </c>
      <c r="I118" t="s">
        <v>74</v>
      </c>
      <c r="J118">
        <v>0</v>
      </c>
      <c r="K118" t="s">
        <v>350</v>
      </c>
      <c r="L118">
        <v>1</v>
      </c>
      <c r="M118">
        <v>4</v>
      </c>
      <c r="N118">
        <v>0.25</v>
      </c>
      <c r="O118">
        <v>0</v>
      </c>
      <c r="P118">
        <v>1</v>
      </c>
      <c r="Q118">
        <v>0</v>
      </c>
      <c r="R118">
        <v>0</v>
      </c>
      <c r="S118">
        <v>0</v>
      </c>
      <c r="U118">
        <v>0</v>
      </c>
      <c r="V118">
        <v>2</v>
      </c>
      <c r="W118">
        <v>2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2</v>
      </c>
      <c r="AD118">
        <v>2.2000000000000002</v>
      </c>
      <c r="AE118">
        <v>-9</v>
      </c>
      <c r="AF118" t="s">
        <v>4</v>
      </c>
    </row>
    <row r="119" spans="1:32" x14ac:dyDescent="0.2">
      <c r="A119">
        <v>16</v>
      </c>
      <c r="B119">
        <v>16</v>
      </c>
      <c r="C119" s="1">
        <v>44218</v>
      </c>
      <c r="D119" t="s">
        <v>351</v>
      </c>
      <c r="E119" t="s">
        <v>70</v>
      </c>
      <c r="F119" t="s">
        <v>2</v>
      </c>
      <c r="G119" t="s">
        <v>14</v>
      </c>
      <c r="H119" t="s">
        <v>0</v>
      </c>
      <c r="I119" t="s">
        <v>175</v>
      </c>
      <c r="J119">
        <v>0</v>
      </c>
      <c r="K119" t="s">
        <v>352</v>
      </c>
      <c r="L119">
        <v>1</v>
      </c>
      <c r="M119">
        <v>1</v>
      </c>
      <c r="N119">
        <v>1</v>
      </c>
      <c r="O119">
        <v>0</v>
      </c>
      <c r="P119">
        <v>0</v>
      </c>
      <c r="R119">
        <v>0</v>
      </c>
      <c r="S119">
        <v>0</v>
      </c>
      <c r="U119">
        <v>0</v>
      </c>
      <c r="V119">
        <v>3</v>
      </c>
      <c r="W119">
        <v>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2.6</v>
      </c>
      <c r="AE119">
        <v>1</v>
      </c>
      <c r="AF119" t="s">
        <v>4</v>
      </c>
    </row>
    <row r="120" spans="1:32" x14ac:dyDescent="0.2">
      <c r="A120">
        <v>15</v>
      </c>
      <c r="B120">
        <v>15</v>
      </c>
      <c r="C120" s="1">
        <v>44216</v>
      </c>
      <c r="D120" t="s">
        <v>353</v>
      </c>
      <c r="E120" t="s">
        <v>70</v>
      </c>
      <c r="F120" t="s">
        <v>2</v>
      </c>
      <c r="G120" t="s">
        <v>14</v>
      </c>
      <c r="H120" t="s">
        <v>0</v>
      </c>
      <c r="I120" t="s">
        <v>181</v>
      </c>
      <c r="J120">
        <v>1</v>
      </c>
      <c r="K120" t="s">
        <v>354</v>
      </c>
      <c r="L120">
        <v>0</v>
      </c>
      <c r="M120">
        <v>4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2</v>
      </c>
      <c r="W120">
        <v>2</v>
      </c>
      <c r="X120">
        <v>2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-1.6</v>
      </c>
      <c r="AE120">
        <v>2</v>
      </c>
      <c r="AF120" t="s">
        <v>4</v>
      </c>
    </row>
    <row r="121" spans="1:32" x14ac:dyDescent="0.2">
      <c r="A121">
        <v>14</v>
      </c>
      <c r="B121">
        <v>14</v>
      </c>
      <c r="C121" s="1">
        <v>44212</v>
      </c>
      <c r="D121" t="s">
        <v>355</v>
      </c>
      <c r="E121" t="s">
        <v>70</v>
      </c>
      <c r="F121" t="s">
        <v>3</v>
      </c>
      <c r="G121" t="s">
        <v>27</v>
      </c>
      <c r="H121" t="s">
        <v>1</v>
      </c>
      <c r="I121" t="s">
        <v>83</v>
      </c>
      <c r="J121">
        <v>1</v>
      </c>
      <c r="K121" t="s">
        <v>356</v>
      </c>
      <c r="L121">
        <v>5</v>
      </c>
      <c r="M121">
        <v>13</v>
      </c>
      <c r="N121">
        <v>0.38500000000000001</v>
      </c>
      <c r="O121">
        <v>0</v>
      </c>
      <c r="P121">
        <v>4</v>
      </c>
      <c r="Q121">
        <v>0</v>
      </c>
      <c r="R121">
        <v>2</v>
      </c>
      <c r="S121">
        <v>2</v>
      </c>
      <c r="T121">
        <v>1</v>
      </c>
      <c r="U121">
        <v>2</v>
      </c>
      <c r="V121">
        <v>1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12</v>
      </c>
      <c r="AD121">
        <v>6.2</v>
      </c>
      <c r="AE121">
        <v>2</v>
      </c>
      <c r="AF121" t="s">
        <v>12</v>
      </c>
    </row>
    <row r="122" spans="1:32" x14ac:dyDescent="0.2">
      <c r="A122">
        <v>13</v>
      </c>
      <c r="B122">
        <v>13</v>
      </c>
      <c r="C122" s="1">
        <v>44210</v>
      </c>
      <c r="D122" t="s">
        <v>357</v>
      </c>
      <c r="E122" t="s">
        <v>70</v>
      </c>
      <c r="F122" t="s">
        <v>2</v>
      </c>
      <c r="G122" t="s">
        <v>28</v>
      </c>
      <c r="H122" t="s">
        <v>1</v>
      </c>
      <c r="I122" t="s">
        <v>358</v>
      </c>
      <c r="J122">
        <v>1</v>
      </c>
      <c r="K122" t="s">
        <v>359</v>
      </c>
      <c r="L122">
        <v>6</v>
      </c>
      <c r="M122">
        <v>10</v>
      </c>
      <c r="N122">
        <v>0.6</v>
      </c>
      <c r="O122">
        <v>1</v>
      </c>
      <c r="P122">
        <v>3</v>
      </c>
      <c r="Q122">
        <v>0.33300000000000002</v>
      </c>
      <c r="R122">
        <v>2</v>
      </c>
      <c r="S122">
        <v>2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2</v>
      </c>
      <c r="AB122">
        <v>2</v>
      </c>
      <c r="AC122">
        <v>15</v>
      </c>
      <c r="AD122">
        <v>10</v>
      </c>
      <c r="AE122">
        <v>-2</v>
      </c>
      <c r="AF122" t="s">
        <v>4</v>
      </c>
    </row>
    <row r="123" spans="1:32" x14ac:dyDescent="0.2">
      <c r="A123">
        <v>12</v>
      </c>
      <c r="B123">
        <v>12</v>
      </c>
      <c r="C123" s="1">
        <v>44208</v>
      </c>
      <c r="D123" t="s">
        <v>360</v>
      </c>
      <c r="E123" t="s">
        <v>70</v>
      </c>
      <c r="F123" t="s">
        <v>2</v>
      </c>
      <c r="G123" t="s">
        <v>28</v>
      </c>
      <c r="H123" t="s">
        <v>1</v>
      </c>
      <c r="I123" t="s">
        <v>132</v>
      </c>
      <c r="J123">
        <v>1</v>
      </c>
      <c r="K123" t="s">
        <v>361</v>
      </c>
      <c r="L123">
        <v>7</v>
      </c>
      <c r="M123">
        <v>18</v>
      </c>
      <c r="N123">
        <v>0.38900000000000001</v>
      </c>
      <c r="O123">
        <v>1</v>
      </c>
      <c r="P123">
        <v>6</v>
      </c>
      <c r="Q123">
        <v>0.16700000000000001</v>
      </c>
      <c r="R123">
        <v>1</v>
      </c>
      <c r="S123">
        <v>3</v>
      </c>
      <c r="T123">
        <v>0.33300000000000002</v>
      </c>
      <c r="U123">
        <v>1</v>
      </c>
      <c r="V123">
        <v>2</v>
      </c>
      <c r="W123">
        <v>3</v>
      </c>
      <c r="X123">
        <v>8</v>
      </c>
      <c r="Y123">
        <v>1</v>
      </c>
      <c r="Z123">
        <v>0</v>
      </c>
      <c r="AA123">
        <v>1</v>
      </c>
      <c r="AB123">
        <v>6</v>
      </c>
      <c r="AC123">
        <v>16</v>
      </c>
      <c r="AD123">
        <v>9.9</v>
      </c>
      <c r="AE123">
        <v>-14</v>
      </c>
      <c r="AF123" t="s">
        <v>4</v>
      </c>
    </row>
    <row r="124" spans="1:32" x14ac:dyDescent="0.2">
      <c r="A124">
        <v>11</v>
      </c>
      <c r="B124">
        <v>11</v>
      </c>
      <c r="C124" s="1">
        <v>44207</v>
      </c>
      <c r="D124" t="s">
        <v>362</v>
      </c>
      <c r="E124" t="s">
        <v>70</v>
      </c>
      <c r="F124" t="s">
        <v>3</v>
      </c>
      <c r="G124" t="s">
        <v>13</v>
      </c>
      <c r="H124" t="s">
        <v>0</v>
      </c>
      <c r="I124" t="s">
        <v>363</v>
      </c>
      <c r="J124">
        <v>1</v>
      </c>
      <c r="K124" t="s">
        <v>364</v>
      </c>
      <c r="L124">
        <v>7</v>
      </c>
      <c r="M124">
        <v>14</v>
      </c>
      <c r="N124">
        <v>0.5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1</v>
      </c>
      <c r="U124">
        <v>0</v>
      </c>
      <c r="V124">
        <v>6</v>
      </c>
      <c r="W124">
        <v>6</v>
      </c>
      <c r="X124">
        <v>4</v>
      </c>
      <c r="Y124">
        <v>0</v>
      </c>
      <c r="Z124">
        <v>2</v>
      </c>
      <c r="AA124">
        <v>2</v>
      </c>
      <c r="AB124">
        <v>1</v>
      </c>
      <c r="AC124">
        <v>15</v>
      </c>
      <c r="AD124">
        <v>11.6</v>
      </c>
      <c r="AE124">
        <v>-24</v>
      </c>
      <c r="AF124" t="s">
        <v>12</v>
      </c>
    </row>
    <row r="125" spans="1:32" x14ac:dyDescent="0.2">
      <c r="A125">
        <v>10</v>
      </c>
      <c r="B125">
        <v>10</v>
      </c>
      <c r="C125" s="1">
        <v>44205</v>
      </c>
      <c r="D125" t="s">
        <v>365</v>
      </c>
      <c r="E125" t="s">
        <v>70</v>
      </c>
      <c r="F125" t="s">
        <v>2</v>
      </c>
      <c r="G125" t="s">
        <v>20</v>
      </c>
      <c r="H125" t="s">
        <v>0</v>
      </c>
      <c r="I125" t="s">
        <v>257</v>
      </c>
      <c r="J125">
        <v>1</v>
      </c>
      <c r="K125" t="s">
        <v>366</v>
      </c>
      <c r="L125">
        <v>18</v>
      </c>
      <c r="M125">
        <v>33</v>
      </c>
      <c r="N125">
        <v>0.54500000000000004</v>
      </c>
      <c r="O125">
        <v>3</v>
      </c>
      <c r="P125">
        <v>8</v>
      </c>
      <c r="Q125">
        <v>0.375</v>
      </c>
      <c r="R125">
        <v>0</v>
      </c>
      <c r="S125">
        <v>0</v>
      </c>
      <c r="U125">
        <v>1</v>
      </c>
      <c r="V125">
        <v>6</v>
      </c>
      <c r="W125">
        <v>7</v>
      </c>
      <c r="X125">
        <v>6</v>
      </c>
      <c r="Y125">
        <v>2</v>
      </c>
      <c r="Z125">
        <v>0</v>
      </c>
      <c r="AA125">
        <v>2</v>
      </c>
      <c r="AB125">
        <v>3</v>
      </c>
      <c r="AC125">
        <v>39</v>
      </c>
      <c r="AD125">
        <v>28.6</v>
      </c>
      <c r="AE125">
        <v>-17</v>
      </c>
      <c r="AF125" t="s">
        <v>12</v>
      </c>
    </row>
    <row r="126" spans="1:32" x14ac:dyDescent="0.2">
      <c r="A126">
        <v>9</v>
      </c>
      <c r="B126">
        <v>9</v>
      </c>
      <c r="C126" s="1">
        <v>44203</v>
      </c>
      <c r="D126" t="s">
        <v>367</v>
      </c>
      <c r="E126" t="s">
        <v>70</v>
      </c>
      <c r="F126" t="s">
        <v>3</v>
      </c>
      <c r="G126" t="s">
        <v>15</v>
      </c>
      <c r="H126" t="s">
        <v>0</v>
      </c>
      <c r="I126" t="s">
        <v>244</v>
      </c>
      <c r="J126">
        <v>0</v>
      </c>
      <c r="K126" t="s">
        <v>368</v>
      </c>
      <c r="L126">
        <v>7</v>
      </c>
      <c r="M126">
        <v>12</v>
      </c>
      <c r="N126">
        <v>0.58299999999999996</v>
      </c>
      <c r="O126">
        <v>2</v>
      </c>
      <c r="P126">
        <v>4</v>
      </c>
      <c r="Q126">
        <v>0.5</v>
      </c>
      <c r="R126">
        <v>0</v>
      </c>
      <c r="S126">
        <v>0</v>
      </c>
      <c r="U126">
        <v>0</v>
      </c>
      <c r="V126">
        <v>3</v>
      </c>
      <c r="W126">
        <v>3</v>
      </c>
      <c r="X126">
        <v>2</v>
      </c>
      <c r="Y126">
        <v>1</v>
      </c>
      <c r="Z126">
        <v>1</v>
      </c>
      <c r="AA126">
        <v>0</v>
      </c>
      <c r="AB126">
        <v>0</v>
      </c>
      <c r="AC126">
        <v>16</v>
      </c>
      <c r="AD126">
        <v>14.4</v>
      </c>
      <c r="AE126">
        <v>7</v>
      </c>
      <c r="AF126" t="s">
        <v>12</v>
      </c>
    </row>
    <row r="127" spans="1:32" x14ac:dyDescent="0.2">
      <c r="A127">
        <v>8</v>
      </c>
      <c r="B127">
        <v>8</v>
      </c>
      <c r="C127" s="1">
        <v>44202</v>
      </c>
      <c r="D127" t="s">
        <v>369</v>
      </c>
      <c r="E127" t="s">
        <v>70</v>
      </c>
      <c r="F127" t="s">
        <v>2</v>
      </c>
      <c r="G127" t="s">
        <v>41</v>
      </c>
      <c r="H127" t="s">
        <v>0</v>
      </c>
      <c r="I127" t="s">
        <v>92</v>
      </c>
      <c r="J127">
        <v>0</v>
      </c>
      <c r="K127" t="s">
        <v>370</v>
      </c>
      <c r="L127">
        <v>1</v>
      </c>
      <c r="M127">
        <v>1</v>
      </c>
      <c r="N127">
        <v>1</v>
      </c>
      <c r="O127">
        <v>0</v>
      </c>
      <c r="P127">
        <v>0</v>
      </c>
      <c r="R127">
        <v>0</v>
      </c>
      <c r="S127">
        <v>0</v>
      </c>
      <c r="U127">
        <v>0</v>
      </c>
      <c r="V127">
        <v>2</v>
      </c>
      <c r="W127">
        <v>2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2</v>
      </c>
      <c r="AD127">
        <v>2.6</v>
      </c>
      <c r="AE127">
        <v>-9</v>
      </c>
      <c r="AF127" t="s">
        <v>4</v>
      </c>
    </row>
    <row r="128" spans="1:32" x14ac:dyDescent="0.2">
      <c r="A128">
        <v>7</v>
      </c>
      <c r="B128">
        <v>7</v>
      </c>
      <c r="C128" s="1">
        <v>44200</v>
      </c>
      <c r="D128" t="s">
        <v>371</v>
      </c>
      <c r="E128" t="s">
        <v>70</v>
      </c>
      <c r="F128" t="s">
        <v>2</v>
      </c>
      <c r="G128" t="s">
        <v>17</v>
      </c>
      <c r="H128" t="s">
        <v>0</v>
      </c>
      <c r="I128" t="s">
        <v>358</v>
      </c>
      <c r="J128">
        <v>0</v>
      </c>
      <c r="K128" t="s">
        <v>372</v>
      </c>
      <c r="L128">
        <v>4</v>
      </c>
      <c r="M128">
        <v>10</v>
      </c>
      <c r="N128">
        <v>0.4</v>
      </c>
      <c r="O128">
        <v>2</v>
      </c>
      <c r="P128">
        <v>3</v>
      </c>
      <c r="Q128">
        <v>0.66700000000000004</v>
      </c>
      <c r="R128">
        <v>1</v>
      </c>
      <c r="S128">
        <v>1</v>
      </c>
      <c r="T128">
        <v>1</v>
      </c>
      <c r="U128">
        <v>0</v>
      </c>
      <c r="V128">
        <v>2</v>
      </c>
      <c r="W128">
        <v>2</v>
      </c>
      <c r="X128">
        <v>2</v>
      </c>
      <c r="Y128">
        <v>1</v>
      </c>
      <c r="Z128">
        <v>0</v>
      </c>
      <c r="AA128">
        <v>0</v>
      </c>
      <c r="AB128">
        <v>2</v>
      </c>
      <c r="AC128">
        <v>11</v>
      </c>
      <c r="AD128">
        <v>7.8</v>
      </c>
      <c r="AE128">
        <v>-3</v>
      </c>
      <c r="AF128" t="s">
        <v>4</v>
      </c>
    </row>
    <row r="129" spans="1:32" x14ac:dyDescent="0.2">
      <c r="A129">
        <v>6</v>
      </c>
      <c r="B129">
        <v>6</v>
      </c>
      <c r="C129" s="1">
        <v>44198</v>
      </c>
      <c r="D129" t="s">
        <v>373</v>
      </c>
      <c r="E129" t="s">
        <v>70</v>
      </c>
      <c r="F129" t="s">
        <v>2</v>
      </c>
      <c r="G129" t="s">
        <v>17</v>
      </c>
      <c r="H129" t="s">
        <v>0</v>
      </c>
      <c r="I129" t="s">
        <v>115</v>
      </c>
      <c r="J129">
        <v>0</v>
      </c>
      <c r="K129" t="s">
        <v>374</v>
      </c>
      <c r="L129">
        <v>4</v>
      </c>
      <c r="M129">
        <v>8</v>
      </c>
      <c r="N129">
        <v>0.5</v>
      </c>
      <c r="O129">
        <v>1</v>
      </c>
      <c r="P129">
        <v>2</v>
      </c>
      <c r="Q129">
        <v>0.5</v>
      </c>
      <c r="R129">
        <v>0</v>
      </c>
      <c r="S129">
        <v>0</v>
      </c>
      <c r="U129">
        <v>0</v>
      </c>
      <c r="V129">
        <v>2</v>
      </c>
      <c r="W129">
        <v>2</v>
      </c>
      <c r="X129">
        <v>2</v>
      </c>
      <c r="Y129">
        <v>1</v>
      </c>
      <c r="Z129">
        <v>0</v>
      </c>
      <c r="AA129">
        <v>1</v>
      </c>
      <c r="AB129">
        <v>1</v>
      </c>
      <c r="AC129">
        <v>9</v>
      </c>
      <c r="AD129">
        <v>6.6</v>
      </c>
      <c r="AE129">
        <v>2</v>
      </c>
      <c r="AF129" t="s">
        <v>4</v>
      </c>
    </row>
    <row r="130" spans="1:32" x14ac:dyDescent="0.2">
      <c r="A130">
        <v>5</v>
      </c>
      <c r="B130">
        <v>5</v>
      </c>
      <c r="C130" s="1">
        <v>44196</v>
      </c>
      <c r="D130" t="s">
        <v>375</v>
      </c>
      <c r="E130" t="s">
        <v>70</v>
      </c>
      <c r="F130" t="s">
        <v>3</v>
      </c>
      <c r="G130" t="s">
        <v>34</v>
      </c>
      <c r="H130" t="s">
        <v>0</v>
      </c>
      <c r="I130" t="s">
        <v>289</v>
      </c>
      <c r="J130">
        <v>0</v>
      </c>
      <c r="K130" t="s">
        <v>376</v>
      </c>
      <c r="L130">
        <v>5</v>
      </c>
      <c r="M130">
        <v>9</v>
      </c>
      <c r="N130">
        <v>0.55600000000000005</v>
      </c>
      <c r="O130">
        <v>0</v>
      </c>
      <c r="P130">
        <v>0</v>
      </c>
      <c r="R130">
        <v>0</v>
      </c>
      <c r="S130">
        <v>0</v>
      </c>
      <c r="U130">
        <v>0</v>
      </c>
      <c r="V130">
        <v>2</v>
      </c>
      <c r="W130">
        <v>2</v>
      </c>
      <c r="X130">
        <v>0</v>
      </c>
      <c r="Y130">
        <v>1</v>
      </c>
      <c r="Z130">
        <v>0</v>
      </c>
      <c r="AA130">
        <v>1</v>
      </c>
      <c r="AB130">
        <v>2</v>
      </c>
      <c r="AC130">
        <v>10</v>
      </c>
      <c r="AD130">
        <v>5.5</v>
      </c>
      <c r="AE130">
        <v>-1</v>
      </c>
      <c r="AF130" t="s">
        <v>4</v>
      </c>
    </row>
    <row r="131" spans="1:32" x14ac:dyDescent="0.2">
      <c r="A131">
        <v>4</v>
      </c>
      <c r="B131">
        <v>4</v>
      </c>
      <c r="C131" s="1">
        <v>44194</v>
      </c>
      <c r="D131" t="s">
        <v>377</v>
      </c>
      <c r="E131" t="s">
        <v>70</v>
      </c>
      <c r="F131" t="s">
        <v>2</v>
      </c>
      <c r="G131" t="s">
        <v>39</v>
      </c>
      <c r="H131" t="s">
        <v>0</v>
      </c>
      <c r="I131" t="s">
        <v>95</v>
      </c>
      <c r="J131">
        <v>0</v>
      </c>
      <c r="K131" t="s">
        <v>378</v>
      </c>
      <c r="L131">
        <v>0</v>
      </c>
      <c r="M131">
        <v>3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-1.4</v>
      </c>
      <c r="AE131">
        <v>7</v>
      </c>
      <c r="AF131" t="s">
        <v>4</v>
      </c>
    </row>
    <row r="132" spans="1:32" x14ac:dyDescent="0.2">
      <c r="A132">
        <v>3</v>
      </c>
      <c r="B132">
        <v>3</v>
      </c>
      <c r="C132" s="1">
        <v>44192</v>
      </c>
      <c r="D132" t="s">
        <v>379</v>
      </c>
      <c r="E132" t="s">
        <v>70</v>
      </c>
      <c r="F132" t="s">
        <v>3</v>
      </c>
      <c r="G132" t="s">
        <v>19</v>
      </c>
      <c r="H132" t="s">
        <v>1</v>
      </c>
      <c r="I132" t="s">
        <v>380</v>
      </c>
      <c r="J132">
        <v>0</v>
      </c>
      <c r="K132" t="s">
        <v>381</v>
      </c>
      <c r="L132">
        <v>3</v>
      </c>
      <c r="M132">
        <v>8</v>
      </c>
      <c r="N132">
        <v>0.375</v>
      </c>
      <c r="O132">
        <v>0</v>
      </c>
      <c r="P132">
        <v>2</v>
      </c>
      <c r="Q132">
        <v>0</v>
      </c>
      <c r="R132">
        <v>0</v>
      </c>
      <c r="S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6</v>
      </c>
      <c r="AD132">
        <v>1.9</v>
      </c>
      <c r="AE132">
        <v>-14</v>
      </c>
      <c r="AF132" t="s">
        <v>12</v>
      </c>
    </row>
    <row r="133" spans="1:32" x14ac:dyDescent="0.2">
      <c r="A133">
        <v>2</v>
      </c>
      <c r="B133">
        <v>2</v>
      </c>
      <c r="C133" s="1">
        <v>44191</v>
      </c>
      <c r="D133" t="s">
        <v>382</v>
      </c>
      <c r="E133" t="s">
        <v>70</v>
      </c>
      <c r="F133" t="s">
        <v>3</v>
      </c>
      <c r="G133" t="s">
        <v>32</v>
      </c>
      <c r="H133" t="s">
        <v>0</v>
      </c>
      <c r="I133" t="s">
        <v>250</v>
      </c>
      <c r="J133">
        <v>0</v>
      </c>
      <c r="K133" t="s">
        <v>383</v>
      </c>
      <c r="L133">
        <v>1</v>
      </c>
      <c r="M133">
        <v>4</v>
      </c>
      <c r="N133">
        <v>0.25</v>
      </c>
      <c r="O133">
        <v>0</v>
      </c>
      <c r="P133">
        <v>0</v>
      </c>
      <c r="R133">
        <v>0</v>
      </c>
      <c r="S133">
        <v>0</v>
      </c>
      <c r="U133">
        <v>1</v>
      </c>
      <c r="V133">
        <v>1</v>
      </c>
      <c r="W133">
        <v>2</v>
      </c>
      <c r="X133">
        <v>3</v>
      </c>
      <c r="Y133">
        <v>0</v>
      </c>
      <c r="Z133">
        <v>0</v>
      </c>
      <c r="AA133">
        <v>1</v>
      </c>
      <c r="AB133">
        <v>0</v>
      </c>
      <c r="AC133">
        <v>2</v>
      </c>
      <c r="AD133">
        <v>1.7</v>
      </c>
      <c r="AE133">
        <v>2</v>
      </c>
      <c r="AF133" t="s">
        <v>4</v>
      </c>
    </row>
    <row r="134" spans="1:32" x14ac:dyDescent="0.2">
      <c r="A134">
        <v>1</v>
      </c>
      <c r="B134">
        <v>1</v>
      </c>
      <c r="C134" s="1">
        <v>44188</v>
      </c>
      <c r="D134" t="s">
        <v>384</v>
      </c>
      <c r="E134" t="s">
        <v>70</v>
      </c>
      <c r="F134" t="s">
        <v>2</v>
      </c>
      <c r="G134" t="s">
        <v>41</v>
      </c>
      <c r="H134" t="s">
        <v>0</v>
      </c>
      <c r="I134" t="s">
        <v>121</v>
      </c>
      <c r="J134">
        <v>0</v>
      </c>
      <c r="K134" t="s">
        <v>385</v>
      </c>
      <c r="L134">
        <v>3</v>
      </c>
      <c r="M134">
        <v>6</v>
      </c>
      <c r="N134">
        <v>0.5</v>
      </c>
      <c r="O134">
        <v>0</v>
      </c>
      <c r="P134">
        <v>1</v>
      </c>
      <c r="Q134">
        <v>0</v>
      </c>
      <c r="R134">
        <v>0</v>
      </c>
      <c r="S134">
        <v>0</v>
      </c>
      <c r="U134">
        <v>0</v>
      </c>
      <c r="V134">
        <v>2</v>
      </c>
      <c r="W134">
        <v>2</v>
      </c>
      <c r="X134">
        <v>2</v>
      </c>
      <c r="Y134">
        <v>0</v>
      </c>
      <c r="Z134">
        <v>0</v>
      </c>
      <c r="AA134">
        <v>1</v>
      </c>
      <c r="AB134">
        <v>0</v>
      </c>
      <c r="AC134">
        <v>6</v>
      </c>
      <c r="AD134">
        <v>4</v>
      </c>
      <c r="AE134">
        <v>3</v>
      </c>
      <c r="AF134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498AAF-1460-40F8-ADBD-1122C1049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 dashboard report</vt:lpstr>
      <vt:lpstr>Stoplight contro panel</vt:lpstr>
      <vt:lpstr>2021-22 Data</vt:lpstr>
      <vt:lpstr>Career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Chenyan</dc:creator>
  <cp:lastModifiedBy>Maksym Fedenko</cp:lastModifiedBy>
  <dcterms:created xsi:type="dcterms:W3CDTF">2022-03-07T17:50:04Z</dcterms:created>
  <dcterms:modified xsi:type="dcterms:W3CDTF">2026-01-10T23:48:12Z</dcterms:modified>
</cp:coreProperties>
</file>